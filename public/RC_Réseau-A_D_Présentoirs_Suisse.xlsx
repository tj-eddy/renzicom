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phaelrenzi/Documents/Renzicom/RC_Réseau_Présentoirs_Suisse/RC-Présentoirs-Activé_Désactivé/"/>
    </mc:Choice>
  </mc:AlternateContent>
  <xr:revisionPtr revIDLastSave="0" documentId="13_ncr:1_{F1E480AB-F82A-054D-A5B9-1B3EBD0FE283}" xr6:coauthVersionLast="47" xr6:coauthVersionMax="47" xr10:uidLastSave="{00000000-0000-0000-0000-000000000000}"/>
  <bookViews>
    <workbookView xWindow="1700" yWindow="1140" windowWidth="25600" windowHeight="15520" tabRatio="500" activeTab="7" xr2:uid="{00000000-000D-0000-FFFF-FFFF00000000}"/>
  </bookViews>
  <sheets>
    <sheet name="Genève" sheetId="1" r:id="rId1"/>
    <sheet name="Plateau Romand" sheetId="2" r:id="rId2"/>
    <sheet name="La Côte" sheetId="3" r:id="rId3"/>
    <sheet name="Lausanne" sheetId="4" r:id="rId4"/>
    <sheet name="Riviera" sheetId="5" r:id="rId5"/>
    <sheet name="Valais" sheetId="6" r:id="rId6"/>
    <sheet name="Vallée de Joux" sheetId="7" r:id="rId7"/>
    <sheet name="Suisse Alémaniqu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" i="6" l="1" a="1"/>
  <c r="F2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<sst xmlns="http://schemas.openxmlformats.org/spreadsheetml/2006/main" count="958" uniqueCount="438">
  <si>
    <t>Type</t>
  </si>
  <si>
    <t>Nom de l'établissement</t>
  </si>
  <si>
    <t>Type de présentoir</t>
  </si>
  <si>
    <t>Lieu</t>
  </si>
  <si>
    <t>Personne de contact</t>
  </si>
  <si>
    <t>Hotel</t>
  </si>
  <si>
    <t>Grand sur pied</t>
  </si>
  <si>
    <t>Genève</t>
  </si>
  <si>
    <t>Date</t>
  </si>
  <si>
    <t>De la Prairie</t>
  </si>
  <si>
    <t>Joël</t>
  </si>
  <si>
    <t>La Barcarolle</t>
  </si>
  <si>
    <t>M. Desmon</t>
  </si>
  <si>
    <t>petit sans pied</t>
  </si>
  <si>
    <t>Prangins</t>
  </si>
  <si>
    <t xml:space="preserve">Hotel </t>
  </si>
  <si>
    <t>La Longeraie</t>
  </si>
  <si>
    <t xml:space="preserve">Le Rive </t>
  </si>
  <si>
    <t>Restaurant</t>
  </si>
  <si>
    <t>Le Glanis</t>
  </si>
  <si>
    <t>Du Tennis Club</t>
  </si>
  <si>
    <t>Morges</t>
  </si>
  <si>
    <t>Nyon</t>
  </si>
  <si>
    <t>Gland</t>
  </si>
  <si>
    <t>Astoria</t>
  </si>
  <si>
    <t>Swiss Luxury Apartments</t>
  </si>
  <si>
    <t>NH Airport</t>
  </si>
  <si>
    <t>Holiday Inn Express</t>
  </si>
  <si>
    <t>Auto</t>
  </si>
  <si>
    <t>BMW Facchinetti</t>
  </si>
  <si>
    <t>Mini Facchinetti</t>
  </si>
  <si>
    <t>Dimab BMW</t>
  </si>
  <si>
    <t>Lausanne</t>
  </si>
  <si>
    <t>Modern Time</t>
  </si>
  <si>
    <t>Le Rivage</t>
  </si>
  <si>
    <t>Lutry</t>
  </si>
  <si>
    <t>HIM</t>
  </si>
  <si>
    <t>Montreux</t>
  </si>
  <si>
    <t>St-Légier</t>
  </si>
  <si>
    <t xml:space="preserve">Auto </t>
  </si>
  <si>
    <t xml:space="preserve">Aéropôle </t>
  </si>
  <si>
    <t>Payerne</t>
  </si>
  <si>
    <t>Bulle</t>
  </si>
  <si>
    <t>Des Alpes</t>
  </si>
  <si>
    <t>Starling</t>
  </si>
  <si>
    <t>Vich</t>
  </si>
  <si>
    <t>Aérodrome /Fly 7</t>
  </si>
  <si>
    <t>Golf</t>
  </si>
  <si>
    <t>Cheserex</t>
  </si>
  <si>
    <t>Le Métropolis</t>
  </si>
  <si>
    <t>Petit sans pied</t>
  </si>
  <si>
    <t xml:space="preserve">Restaurant </t>
  </si>
  <si>
    <t>Bernina</t>
  </si>
  <si>
    <t>Grand</t>
  </si>
  <si>
    <t xml:space="preserve">Ibis </t>
  </si>
  <si>
    <t>Petit-Lancy</t>
  </si>
  <si>
    <t>Meyrin</t>
  </si>
  <si>
    <t>CTN</t>
  </si>
  <si>
    <t>Petit</t>
  </si>
  <si>
    <t>Plan-Les-Ouates</t>
  </si>
  <si>
    <t>Adresse</t>
  </si>
  <si>
    <t>Sport</t>
  </si>
  <si>
    <t>Holmes Place</t>
  </si>
  <si>
    <t>Business</t>
  </si>
  <si>
    <t>World Trade Center Entrée</t>
  </si>
  <si>
    <t>World Trade Center Sortie</t>
  </si>
  <si>
    <t>Morat</t>
  </si>
  <si>
    <t>Tea-Room La Couronne</t>
  </si>
  <si>
    <t>Rolle</t>
  </si>
  <si>
    <t>Amag Audi</t>
  </si>
  <si>
    <t>Emil Frey BMW</t>
  </si>
  <si>
    <t>Carlton</t>
  </si>
  <si>
    <t>Eurotel</t>
  </si>
  <si>
    <t>Viu</t>
  </si>
  <si>
    <t>Villars sur Ollon</t>
  </si>
  <si>
    <t>Lavey les Bains</t>
  </si>
  <si>
    <t>Porte d'Octodure</t>
  </si>
  <si>
    <t>Martigny</t>
  </si>
  <si>
    <t>Des Sports</t>
  </si>
  <si>
    <t>4Vallées</t>
  </si>
  <si>
    <t>Du Parc</t>
  </si>
  <si>
    <t>Mont-Paisible</t>
  </si>
  <si>
    <t>De la Landes</t>
  </si>
  <si>
    <t>La Baie au Lac</t>
  </si>
  <si>
    <t>Hotel de Ville</t>
  </si>
  <si>
    <t>Bellevue</t>
  </si>
  <si>
    <t>N.</t>
  </si>
  <si>
    <t>Code Postal</t>
  </si>
  <si>
    <t>Grand Sur Pied</t>
  </si>
  <si>
    <t>Place de la Lande</t>
  </si>
  <si>
    <t>Le Chenit</t>
  </si>
  <si>
    <t>L'Abbaye</t>
  </si>
  <si>
    <t xml:space="preserve">Route de l'Hotel de Ville </t>
  </si>
  <si>
    <t xml:space="preserve">Grand-Rue </t>
  </si>
  <si>
    <t>Petit Sans Pied</t>
  </si>
  <si>
    <t>Situation</t>
  </si>
  <si>
    <t>J65J+24</t>
  </si>
  <si>
    <t>Le Rocheray</t>
  </si>
  <si>
    <t>J7F2+54</t>
  </si>
  <si>
    <t>Numéro</t>
  </si>
  <si>
    <t>Av. Centrale</t>
  </si>
  <si>
    <t>73V4+P8 Ollon</t>
  </si>
  <si>
    <t>GH  Des Bains</t>
  </si>
  <si>
    <t>Route des Bains</t>
  </si>
  <si>
    <t>Route du Grand-St-Bernard</t>
  </si>
  <si>
    <t>Rue du Forum</t>
  </si>
  <si>
    <t xml:space="preserve">Ch. des Cibles </t>
  </si>
  <si>
    <t>Haute-Nendaz</t>
  </si>
  <si>
    <t>Crans-Montana</t>
  </si>
  <si>
    <t>Route du Parc</t>
  </si>
  <si>
    <t>Ch. du Mont-Paisible</t>
  </si>
  <si>
    <t>Ch. du Genévrier</t>
  </si>
  <si>
    <t>Grand-Rue</t>
  </si>
  <si>
    <t>Av. des Alpes</t>
  </si>
  <si>
    <t>Ch. de la Veyre-d'en-Haut</t>
  </si>
  <si>
    <t>3A</t>
  </si>
  <si>
    <t>Code Postale</t>
  </si>
  <si>
    <t>Place Cornavin</t>
  </si>
  <si>
    <t>Ibis Budget</t>
  </si>
  <si>
    <t>Rue Philippe-Plantamour</t>
  </si>
  <si>
    <t xml:space="preserve">Av. de Mategnin </t>
  </si>
  <si>
    <t>Route de Pré-Bois</t>
  </si>
  <si>
    <t>Chemin des Olliquettes</t>
  </si>
  <si>
    <t>Chemin des Aulx</t>
  </si>
  <si>
    <t>Av. Louis-Casaï</t>
  </si>
  <si>
    <t>Novotel Suite</t>
  </si>
  <si>
    <t>Cointrin</t>
  </si>
  <si>
    <t>Route de Lausanne</t>
  </si>
  <si>
    <t xml:space="preserve">Chemin des Aulx </t>
  </si>
  <si>
    <t xml:space="preserve">Route de Meyrin </t>
  </si>
  <si>
    <t>Lory SA Alfa Roméo</t>
  </si>
  <si>
    <t>Ch. de Malombré</t>
  </si>
  <si>
    <t>Rue du Rhône</t>
  </si>
  <si>
    <t>Avenue des Bains</t>
  </si>
  <si>
    <t>Yverdon-Les-Bains</t>
  </si>
  <si>
    <t>Lully</t>
  </si>
  <si>
    <t>Hôtel B&amp;B</t>
  </si>
  <si>
    <t>Restoroute Rose de la Broye</t>
  </si>
  <si>
    <t>Best Western Hotel Rallye</t>
  </si>
  <si>
    <t xml:space="preserve">Route de Riaz </t>
  </si>
  <si>
    <t>Route du Lac</t>
  </si>
  <si>
    <t>Granges-Paccot</t>
  </si>
  <si>
    <t>Seepark Hôtel Muntelier</t>
  </si>
  <si>
    <t>Muntelierstrasse</t>
  </si>
  <si>
    <t>Route de Promenthoux</t>
  </si>
  <si>
    <t>Route de La Longeraie</t>
  </si>
  <si>
    <t>Rue de Lausanne</t>
  </si>
  <si>
    <t xml:space="preserve">Av. Viollier </t>
  </si>
  <si>
    <t>Rue de Rive</t>
  </si>
  <si>
    <t>Route de Begnins</t>
  </si>
  <si>
    <t>Route de La Vallée</t>
  </si>
  <si>
    <t>Promenade du Petit-Bois</t>
  </si>
  <si>
    <t>Rue Louis de Savoie</t>
  </si>
  <si>
    <t>O'Les Terrasses du Lac</t>
  </si>
  <si>
    <t xml:space="preserve">Route de L'Etraz </t>
  </si>
  <si>
    <t>Route de Bonmont</t>
  </si>
  <si>
    <t>Av. du Léman</t>
  </si>
  <si>
    <t>Route Cantonale</t>
  </si>
  <si>
    <t>St-Sulpice</t>
  </si>
  <si>
    <t>Av. de Cour</t>
  </si>
  <si>
    <t xml:space="preserve">Av. du Grey </t>
  </si>
  <si>
    <t>Automobile</t>
  </si>
  <si>
    <t>Emil Frey Centre Auto</t>
  </si>
  <si>
    <t>Sion</t>
  </si>
  <si>
    <t>Rue de la Grande Dixence</t>
  </si>
  <si>
    <t>Am Schwarzsee</t>
  </si>
  <si>
    <t>Schwarzsee</t>
  </si>
  <si>
    <t xml:space="preserve">Seestrasse </t>
  </si>
  <si>
    <t>Emil Frey Jaguar/Land</t>
  </si>
  <si>
    <t>Champéry</t>
  </si>
  <si>
    <t>Rue du Village</t>
  </si>
  <si>
    <t>Beau-Séjour &amp; Spa</t>
  </si>
  <si>
    <t>La Source des Alpes</t>
  </si>
  <si>
    <t>Tuftstrasse</t>
  </si>
  <si>
    <t>Leukerbad</t>
  </si>
  <si>
    <t>Bonmont Secrétariat</t>
  </si>
  <si>
    <t>Bonmont Club/Restaurant</t>
  </si>
  <si>
    <t>Date réouverture</t>
  </si>
  <si>
    <t>Aéroport</t>
  </si>
  <si>
    <t>Aéroport de Sion</t>
  </si>
  <si>
    <t>Route de l'Aéroport</t>
  </si>
  <si>
    <t>--</t>
  </si>
  <si>
    <t>BMW Claude Urfer SA</t>
  </si>
  <si>
    <t>Ch. Saint-Hubert</t>
  </si>
  <si>
    <t>Autocorner Audi SA</t>
  </si>
  <si>
    <t xml:space="preserve">Rue Traversière </t>
  </si>
  <si>
    <t>Grand Hotel Les Rasses</t>
  </si>
  <si>
    <t>M. Bez Jaques</t>
  </si>
  <si>
    <t>Route des Alpes</t>
  </si>
  <si>
    <t>Les Rasses/Bullet</t>
  </si>
  <si>
    <t>Le Petit Lac</t>
  </si>
  <si>
    <t>Corsier</t>
  </si>
  <si>
    <t>Quai de Corsier</t>
  </si>
  <si>
    <t>Lake Geneva</t>
  </si>
  <si>
    <t>Versoix</t>
  </si>
  <si>
    <t xml:space="preserve">Route de Suisse </t>
  </si>
  <si>
    <t>Le Moderne</t>
  </si>
  <si>
    <t>Port Conty &amp; Spa</t>
  </si>
  <si>
    <t xml:space="preserve">Rue du Débarcadère </t>
  </si>
  <si>
    <t>St-Aubin-Sauges (NE)</t>
  </si>
  <si>
    <t>Rue Victor-Tissot</t>
  </si>
  <si>
    <t>ZI Palaz C</t>
  </si>
  <si>
    <t>Continental</t>
  </si>
  <si>
    <t>P</t>
  </si>
  <si>
    <t>Place de la Gare</t>
  </si>
  <si>
    <t>Le Senso</t>
  </si>
  <si>
    <t xml:space="preserve">Av. de la Gare </t>
  </si>
  <si>
    <t xml:space="preserve">Thermal &amp; Walliser </t>
  </si>
  <si>
    <t>Dorfplatz</t>
  </si>
  <si>
    <t>La Truite</t>
  </si>
  <si>
    <t>Rue de la Poste</t>
  </si>
  <si>
    <t>Royal Manotel</t>
  </si>
  <si>
    <t>Harmony</t>
  </si>
  <si>
    <t>Let's Go</t>
  </si>
  <si>
    <t>La Cheminée</t>
  </si>
  <si>
    <t>La Chaux de Fonds</t>
  </si>
  <si>
    <t>De France</t>
  </si>
  <si>
    <t>Grichting</t>
  </si>
  <si>
    <t>Mercure Geneva Airport</t>
  </si>
  <si>
    <t>De Chailly</t>
  </si>
  <si>
    <t xml:space="preserve">Montreux </t>
  </si>
  <si>
    <t>Crissier</t>
  </si>
  <si>
    <t xml:space="preserve">Rue de la Bergère </t>
  </si>
  <si>
    <t>Rue de Monthoux</t>
  </si>
  <si>
    <t>Ibis  3 Lacs</t>
  </si>
  <si>
    <t xml:space="preserve">Le Verger </t>
  </si>
  <si>
    <t>Neuchâtel</t>
  </si>
  <si>
    <t xml:space="preserve">Rue de la Charrière </t>
  </si>
  <si>
    <t>Ch. De Closalet</t>
  </si>
  <si>
    <t>Route des Chataigniers</t>
  </si>
  <si>
    <t>Kurparkstrasse</t>
  </si>
  <si>
    <t>Plan'Les</t>
  </si>
  <si>
    <t>Nouveau</t>
  </si>
  <si>
    <t>Ch. Du Champs des Filles</t>
  </si>
  <si>
    <t>Moto</t>
  </si>
  <si>
    <t xml:space="preserve">Rue du Lect </t>
  </si>
  <si>
    <t xml:space="preserve">Aéroport régional des Eplatures </t>
  </si>
  <si>
    <t xml:space="preserve">Blvd des Eplatures </t>
  </si>
  <si>
    <t xml:space="preserve">Bulle </t>
  </si>
  <si>
    <t xml:space="preserve">Rue Nicolas-Glasson </t>
  </si>
  <si>
    <t>Grand Hotel et centre thermal</t>
  </si>
  <si>
    <t xml:space="preserve">Av. des Bains </t>
  </si>
  <si>
    <t>Autobritt Land Rover/Jaguar</t>
  </si>
  <si>
    <t>Rue du Grand-Pré</t>
  </si>
  <si>
    <t>Garage Olympic A. Antille Sierre Sa</t>
  </si>
  <si>
    <t>Concessionaire VW</t>
  </si>
  <si>
    <t xml:space="preserve">Av. de France </t>
  </si>
  <si>
    <t>Sierre</t>
  </si>
  <si>
    <t>Facchinetti BMW</t>
  </si>
  <si>
    <t>Blvd de la Liberté</t>
  </si>
  <si>
    <t>The Kitchen Colovray</t>
  </si>
  <si>
    <t>M. Stephane</t>
  </si>
  <si>
    <t xml:space="preserve">Route de Genève </t>
  </si>
  <si>
    <t>Hôtel</t>
  </si>
  <si>
    <t>Palafitte</t>
  </si>
  <si>
    <t>Route des Gouttes-d'Or</t>
  </si>
  <si>
    <t>Les Bains de Saillon</t>
  </si>
  <si>
    <t>Saillon</t>
  </si>
  <si>
    <t>Garage Mon Repos Mercedes</t>
  </si>
  <si>
    <t>Rue de l'Etraz</t>
  </si>
  <si>
    <t xml:space="preserve">arrété </t>
  </si>
  <si>
    <t>Garage de l'Etoile Mercedes</t>
  </si>
  <si>
    <t xml:space="preserve">Renens </t>
  </si>
  <si>
    <t xml:space="preserve">Rue de Cossonay </t>
  </si>
  <si>
    <t>Domaine de Chateauvieux</t>
  </si>
  <si>
    <t xml:space="preserve">Peney-Dessus </t>
  </si>
  <si>
    <t xml:space="preserve">Satigny </t>
  </si>
  <si>
    <t>Athmos</t>
  </si>
  <si>
    <t>Av. Léopold-Robert</t>
  </si>
  <si>
    <t>arrêté</t>
  </si>
  <si>
    <t>Port Gitana</t>
  </si>
  <si>
    <t>ARRETE</t>
  </si>
  <si>
    <t>Afterwork</t>
  </si>
  <si>
    <t>En Bellevue</t>
  </si>
  <si>
    <t>Etoy</t>
  </si>
  <si>
    <t xml:space="preserve">AMAG Audi </t>
  </si>
  <si>
    <t>Rue de la Vernie</t>
  </si>
  <si>
    <t>AMAG SEAT</t>
  </si>
  <si>
    <t>Ibis Nations</t>
  </si>
  <si>
    <t>33-35</t>
  </si>
  <si>
    <t>Arrêté</t>
  </si>
  <si>
    <t xml:space="preserve">Emil Frey Centre </t>
  </si>
  <si>
    <t xml:space="preserve">Ch. De Closalet </t>
  </si>
  <si>
    <t xml:space="preserve">Boutique </t>
  </si>
  <si>
    <t>Gangi</t>
  </si>
  <si>
    <t>Rue Caroline</t>
  </si>
  <si>
    <t>Ch. Tolovaux</t>
  </si>
  <si>
    <t>Puidoux</t>
  </si>
  <si>
    <t xml:space="preserve">Friderici Automobile </t>
  </si>
  <si>
    <t>Route du Molliau</t>
  </si>
  <si>
    <t>Tolochenaz</t>
  </si>
  <si>
    <t>P.A. Keller VW</t>
  </si>
  <si>
    <t>Z.I. du Moulin du Choc</t>
  </si>
  <si>
    <t>Romanel sur Morges</t>
  </si>
  <si>
    <t>Aquatis</t>
  </si>
  <si>
    <t xml:space="preserve">Route de Berne </t>
  </si>
  <si>
    <t>Régus I-Life</t>
  </si>
  <si>
    <t xml:space="preserve">Route Suisse </t>
  </si>
  <si>
    <t>8A</t>
  </si>
  <si>
    <t>Marmont</t>
  </si>
  <si>
    <t>Rue du Prince</t>
  </si>
  <si>
    <t xml:space="preserve">Nouveau </t>
  </si>
  <si>
    <t>Eden</t>
  </si>
  <si>
    <t xml:space="preserve">Rue de Lausanne </t>
  </si>
  <si>
    <t>Centre Audi Collonge-Bellerive</t>
  </si>
  <si>
    <t>Route de Thonon</t>
  </si>
  <si>
    <t>Collonge-Bellerive</t>
  </si>
  <si>
    <t>Tralala</t>
  </si>
  <si>
    <t xml:space="preserve">Rue du Temple </t>
  </si>
  <si>
    <t>Holiday Inn</t>
  </si>
  <si>
    <t>XXL sur Pied</t>
  </si>
  <si>
    <t>Riedbachstrasse</t>
  </si>
  <si>
    <t>Berne</t>
  </si>
  <si>
    <t>Hotel Moevenpick</t>
  </si>
  <si>
    <t>Höhenstrasse</t>
  </si>
  <si>
    <t>Egerkingen</t>
  </si>
  <si>
    <t>Ibis Style</t>
  </si>
  <si>
    <t>Grosspeterstrasse</t>
  </si>
  <si>
    <t>Basel</t>
  </si>
  <si>
    <t>Schlosspark</t>
  </si>
  <si>
    <t>Grand sur Pied</t>
  </si>
  <si>
    <t>Schlossgasse</t>
  </si>
  <si>
    <t>2,5</t>
  </si>
  <si>
    <t>Binningen</t>
  </si>
  <si>
    <t>Courtyard by Marriott Basel</t>
  </si>
  <si>
    <t>Pratteln</t>
  </si>
  <si>
    <t>Hardstrasse</t>
  </si>
  <si>
    <t xml:space="preserve">3 Couronnes </t>
  </si>
  <si>
    <t xml:space="preserve">Vevey </t>
  </si>
  <si>
    <t>Régus - Spaces - Main Station</t>
  </si>
  <si>
    <t>Jade</t>
  </si>
  <si>
    <t>Rue Rothschild</t>
  </si>
  <si>
    <t>Grauholz</t>
  </si>
  <si>
    <t>Ittigen</t>
  </si>
  <si>
    <t xml:space="preserve">Wolfackerweg </t>
  </si>
  <si>
    <t>10/A1</t>
  </si>
  <si>
    <t>Clinique</t>
  </si>
  <si>
    <t>Nescens</t>
  </si>
  <si>
    <t>Genolier</t>
  </si>
  <si>
    <t>Route du Muids</t>
  </si>
  <si>
    <t xml:space="preserve">M. </t>
  </si>
  <si>
    <t>Jura Sports &amp; Spa</t>
  </si>
  <si>
    <t>Grand XXL</t>
  </si>
  <si>
    <t>Saignelégier</t>
  </si>
  <si>
    <t>Ch. Des Sports</t>
  </si>
  <si>
    <t>La Rouveinaz</t>
  </si>
  <si>
    <t>BonPort</t>
  </si>
  <si>
    <t xml:space="preserve">Montreeux </t>
  </si>
  <si>
    <t>Parc et Lac</t>
  </si>
  <si>
    <t xml:space="preserve">Petit sans pied </t>
  </si>
  <si>
    <t xml:space="preserve">Rue du Théâtre </t>
  </si>
  <si>
    <t>Rue du Marché</t>
  </si>
  <si>
    <t>Five Coworking</t>
  </si>
  <si>
    <t>Av. du Casino</t>
  </si>
  <si>
    <t>Valérie Aubourg</t>
  </si>
  <si>
    <t>Everness</t>
  </si>
  <si>
    <t>Chavannes-Bogis</t>
  </si>
  <si>
    <t>Les Champs-Blancs</t>
  </si>
  <si>
    <t>70b</t>
  </si>
  <si>
    <t xml:space="preserve">Rue du Maupas </t>
  </si>
  <si>
    <t xml:space="preserve">Ibis Centre </t>
  </si>
  <si>
    <t>Holmes Place Lausanne</t>
  </si>
  <si>
    <t xml:space="preserve">Rue Mercerie </t>
  </si>
  <si>
    <t>Arrêter</t>
  </si>
  <si>
    <t>Bains d'Ovronnaz</t>
  </si>
  <si>
    <t>Ovronnaz</t>
  </si>
  <si>
    <t>Faern Valaisia</t>
  </si>
  <si>
    <t>Route de Vermala</t>
  </si>
  <si>
    <t>10&amp;12</t>
  </si>
  <si>
    <t xml:space="preserve">Urfer Group </t>
  </si>
  <si>
    <t>Concessionaire BMW &amp; Mini</t>
  </si>
  <si>
    <t xml:space="preserve">Route du Simplon </t>
  </si>
  <si>
    <t xml:space="preserve">Sierre </t>
  </si>
  <si>
    <t>Route des Carolines</t>
  </si>
  <si>
    <t>Mad Retreat</t>
  </si>
  <si>
    <t>Ch. De Tsamandon</t>
  </si>
  <si>
    <t>Il Mirtillo</t>
  </si>
  <si>
    <t xml:space="preserve">Vessy </t>
  </si>
  <si>
    <t xml:space="preserve">Route de Veyrier </t>
  </si>
  <si>
    <t xml:space="preserve">Intercity </t>
  </si>
  <si>
    <t xml:space="preserve">Châtelaine </t>
  </si>
  <si>
    <t>Régus - Spaces - Etang</t>
  </si>
  <si>
    <t>Régus City Centre</t>
  </si>
  <si>
    <t>Régus Genève Aéroport</t>
  </si>
  <si>
    <t>Régus Pont-Rouge</t>
  </si>
  <si>
    <t>Régus Meyrin</t>
  </si>
  <si>
    <t xml:space="preserve">Régus Versoix </t>
  </si>
  <si>
    <t>Rue du Lyon</t>
  </si>
  <si>
    <t>Place Casa-Bamba</t>
  </si>
  <si>
    <t xml:space="preserve">Esplanade de Pont-Rouge </t>
  </si>
  <si>
    <t>Grand-Lancy</t>
  </si>
  <si>
    <t>Route du Nant-D'Avril</t>
  </si>
  <si>
    <t>Ch. Jean-Baptiste Vandelle</t>
  </si>
  <si>
    <t>Golf de Lavaux</t>
  </si>
  <si>
    <t xml:space="preserve">The Kitchen </t>
  </si>
  <si>
    <t>Route de Crassier</t>
  </si>
  <si>
    <t>Eysins</t>
  </si>
  <si>
    <t>Y-Parc</t>
  </si>
  <si>
    <t>Av. des Trois-Lac</t>
  </si>
  <si>
    <t>de la Source</t>
  </si>
  <si>
    <t>Golf du Brésil</t>
  </si>
  <si>
    <t>Ch. Du Brésil</t>
  </si>
  <si>
    <t>Goumoëns-le-Jux</t>
  </si>
  <si>
    <t>Blokk</t>
  </si>
  <si>
    <t>Changement de nom</t>
  </si>
  <si>
    <t>Noiuveau</t>
  </si>
  <si>
    <t>Art Déco Elite</t>
  </si>
  <si>
    <t>Biel/Bienne</t>
  </si>
  <si>
    <t>Bahnhofstrasse</t>
  </si>
  <si>
    <t>SPA</t>
  </si>
  <si>
    <t xml:space="preserve"> Régus Nation</t>
  </si>
  <si>
    <t>Ch. Des Mines</t>
  </si>
  <si>
    <t>Auzto</t>
  </si>
  <si>
    <t>Route de la Maladière</t>
  </si>
  <si>
    <t>Chavannes près Rennens</t>
  </si>
  <si>
    <t>Holiday Inn Express &amp; Suites</t>
  </si>
  <si>
    <t>Cour de Gare, Av. de Tourbillon</t>
  </si>
  <si>
    <t xml:space="preserve">Airport </t>
  </si>
  <si>
    <t xml:space="preserve">Basel </t>
  </si>
  <si>
    <t>Flughafenstrasse</t>
  </si>
  <si>
    <t>Régus</t>
  </si>
  <si>
    <t>Régus Huewaage</t>
  </si>
  <si>
    <t>Innere Margarethenstr.</t>
  </si>
  <si>
    <t>Régus/Spaces</t>
  </si>
  <si>
    <t>GrossPeteranlage</t>
  </si>
  <si>
    <t>Floor 21st</t>
  </si>
  <si>
    <t>Régus Main Station</t>
  </si>
  <si>
    <t>GrosspeterTower</t>
  </si>
  <si>
    <t xml:space="preserve">Schanzenstrasse </t>
  </si>
  <si>
    <t>4a</t>
  </si>
  <si>
    <t>Courtyard by Marriott Biel</t>
  </si>
  <si>
    <t>Petit sans Pied</t>
  </si>
  <si>
    <t xml:space="preserve">Esplanade du Palais des Congrès </t>
  </si>
  <si>
    <t>arrété</t>
  </si>
  <si>
    <t>B&amp;B Lausanne Crissier</t>
  </si>
  <si>
    <t>Novotel</t>
  </si>
  <si>
    <t>Bussigny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</si>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</sst>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right"/>
    </xf>
    <xf numFmtId="0" fontId="9" fillId="0" borderId="0" xfId="0" applyFont="1"/>
    <xf numFmtId="0" fontId="8" fillId="2" borderId="0" xfId="0" applyFont="1" applyFill="1"/>
    <xf numFmtId="0" fontId="8" fillId="3" borderId="0" xfId="0" applyFont="1" applyFill="1"/>
    <xf numFmtId="0" fontId="6" fillId="3" borderId="0" xfId="0" applyFont="1" applyFill="1"/>
    <xf numFmtId="14" fontId="8" fillId="2" borderId="0" xfId="0" applyNumberFormat="1" applyFont="1" applyFill="1"/>
    <xf numFmtId="0" fontId="9" fillId="3" borderId="0" xfId="0" applyFont="1" applyFill="1"/>
    <xf numFmtId="0" fontId="8" fillId="2" borderId="0" xfId="0" applyFont="1" applyFill="1" applyAlignment="1">
      <alignment horizontal="right"/>
    </xf>
    <xf numFmtId="16" fontId="8" fillId="3" borderId="0" xfId="0" applyNumberFormat="1" applyFont="1" applyFill="1" applyAlignment="1">
      <alignment horizontal="right"/>
    </xf>
    <xf numFmtId="0" fontId="0" fillId="3" borderId="0" xfId="0" applyFill="1"/>
    <xf numFmtId="0" fontId="0" fillId="2" borderId="0" xfId="0" applyFill="1"/>
    <xf numFmtId="0" fontId="6" fillId="3" borderId="0" xfId="0" applyFont="1" applyFill="1" applyAlignment="1">
      <alignment horizontal="right"/>
    </xf>
  </cellXfs>
  <cellStyles count="1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35" workbookViewId="0">
      <selection activeCell="A44" sqref="A44"/>
    </sheetView>
  </sheetViews>
  <sheetFormatPr baseColWidth="10" defaultRowHeight="16" x14ac:dyDescent="0.2"/>
  <cols>
    <col min="3" max="3" width="25.6640625" customWidth="1"/>
    <col min="4" max="4" width="20.5" customWidth="1"/>
    <col min="5" max="5" width="17.33203125" customWidth="1"/>
    <col min="6" max="6" width="22.1640625" customWidth="1"/>
    <col min="7" max="7" width="9" customWidth="1"/>
    <col min="8" max="8" width="11.83203125" customWidth="1"/>
    <col min="9" max="9" width="16.6640625" customWidth="1"/>
    <col min="11" max="11" width="17.6640625" customWidth="1"/>
  </cols>
  <sheetData>
    <row r="1" spans="1:11" s="1" customFormat="1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60</v>
      </c>
      <c r="G1" s="1" t="s">
        <v>99</v>
      </c>
      <c r="H1" s="1" t="s">
        <v>87</v>
      </c>
      <c r="I1" s="1" t="s">
        <v>3</v>
      </c>
      <c r="K1" s="1" t="s">
        <v>177</v>
      </c>
    </row>
    <row r="2" spans="1:11" s="3" customFormat="1" x14ac:dyDescent="0.2">
      <c r="A2" s="4">
        <v>43486</v>
      </c>
      <c r="B2" s="3" t="s">
        <v>5</v>
      </c>
      <c r="C2" s="3" t="s">
        <v>24</v>
      </c>
      <c r="E2" s="3" t="s">
        <v>53</v>
      </c>
      <c r="F2" s="3" t="s">
        <v>117</v>
      </c>
      <c r="G2" s="3">
        <v>6</v>
      </c>
      <c r="H2" s="3">
        <v>1201</v>
      </c>
      <c r="I2" s="3" t="s">
        <v>7</v>
      </c>
      <c r="K2" s="4"/>
    </row>
    <row r="3" spans="1:11" s="3" customFormat="1" x14ac:dyDescent="0.2">
      <c r="A3" s="4"/>
      <c r="B3" s="3" t="s">
        <v>15</v>
      </c>
      <c r="C3" s="3" t="s">
        <v>52</v>
      </c>
      <c r="E3" s="3" t="s">
        <v>53</v>
      </c>
      <c r="F3" s="3" t="s">
        <v>117</v>
      </c>
      <c r="G3" s="3">
        <v>22</v>
      </c>
      <c r="H3" s="3">
        <v>1201</v>
      </c>
      <c r="I3" s="3" t="s">
        <v>7</v>
      </c>
    </row>
    <row r="4" spans="1:11" s="3" customFormat="1" x14ac:dyDescent="0.2">
      <c r="A4" s="4"/>
      <c r="B4" s="3" t="s">
        <v>5</v>
      </c>
      <c r="C4" s="3" t="s">
        <v>211</v>
      </c>
      <c r="E4" s="3" t="s">
        <v>53</v>
      </c>
      <c r="F4" s="3" t="s">
        <v>146</v>
      </c>
      <c r="G4" s="3">
        <v>41</v>
      </c>
      <c r="H4" s="3">
        <v>1201</v>
      </c>
      <c r="I4" s="3" t="s">
        <v>7</v>
      </c>
    </row>
    <row r="5" spans="1:11" s="3" customFormat="1" x14ac:dyDescent="0.2">
      <c r="B5" s="3" t="s">
        <v>5</v>
      </c>
      <c r="C5" s="3" t="s">
        <v>25</v>
      </c>
      <c r="E5" s="3" t="s">
        <v>53</v>
      </c>
      <c r="F5" s="3" t="s">
        <v>119</v>
      </c>
      <c r="G5" s="3">
        <v>6</v>
      </c>
      <c r="H5" s="3">
        <v>1201</v>
      </c>
      <c r="I5" s="3" t="s">
        <v>7</v>
      </c>
    </row>
    <row r="6" spans="1:11" s="11" customFormat="1" x14ac:dyDescent="0.2">
      <c r="B6" s="11" t="s">
        <v>5</v>
      </c>
      <c r="C6" s="11" t="s">
        <v>278</v>
      </c>
      <c r="E6" s="11" t="s">
        <v>53</v>
      </c>
      <c r="F6" s="11" t="s">
        <v>243</v>
      </c>
      <c r="G6" s="11" t="s">
        <v>279</v>
      </c>
      <c r="H6" s="11">
        <v>1202</v>
      </c>
      <c r="I6" s="11" t="s">
        <v>7</v>
      </c>
      <c r="J6" s="11" t="s">
        <v>405</v>
      </c>
    </row>
    <row r="7" spans="1:11" s="11" customFormat="1" x14ac:dyDescent="0.2">
      <c r="B7" s="11" t="s">
        <v>5</v>
      </c>
      <c r="C7" s="11" t="s">
        <v>330</v>
      </c>
      <c r="E7" s="11" t="s">
        <v>58</v>
      </c>
      <c r="F7" s="11" t="s">
        <v>331</v>
      </c>
      <c r="G7" s="11">
        <v>55</v>
      </c>
      <c r="H7" s="11">
        <v>1202</v>
      </c>
      <c r="I7" s="11" t="s">
        <v>7</v>
      </c>
    </row>
    <row r="8" spans="1:11" s="11" customFormat="1" x14ac:dyDescent="0.2">
      <c r="B8" s="11" t="s">
        <v>5</v>
      </c>
      <c r="C8" s="11" t="s">
        <v>302</v>
      </c>
      <c r="E8" s="11" t="s">
        <v>53</v>
      </c>
      <c r="F8" s="11" t="s">
        <v>303</v>
      </c>
      <c r="G8" s="11">
        <v>135</v>
      </c>
      <c r="H8" s="11">
        <v>1202</v>
      </c>
      <c r="I8" s="11" t="s">
        <v>7</v>
      </c>
      <c r="J8" s="11" t="s">
        <v>301</v>
      </c>
    </row>
    <row r="9" spans="1:11" s="11" customFormat="1" x14ac:dyDescent="0.2">
      <c r="B9" s="11" t="s">
        <v>15</v>
      </c>
      <c r="C9" s="11" t="s">
        <v>299</v>
      </c>
      <c r="E9" s="11" t="s">
        <v>53</v>
      </c>
      <c r="F9" s="11" t="s">
        <v>300</v>
      </c>
      <c r="G9" s="11">
        <v>5</v>
      </c>
      <c r="H9" s="11">
        <v>1204</v>
      </c>
      <c r="I9" s="11" t="s">
        <v>7</v>
      </c>
      <c r="J9" s="11" t="s">
        <v>301</v>
      </c>
    </row>
    <row r="10" spans="1:11" s="6" customFormat="1" x14ac:dyDescent="0.2">
      <c r="B10" s="6" t="s">
        <v>5</v>
      </c>
      <c r="C10" s="6" t="s">
        <v>26</v>
      </c>
      <c r="E10" s="6" t="s">
        <v>53</v>
      </c>
      <c r="F10" s="6" t="s">
        <v>120</v>
      </c>
      <c r="G10" s="6">
        <v>21</v>
      </c>
      <c r="H10" s="6">
        <v>1217</v>
      </c>
      <c r="I10" s="6" t="s">
        <v>56</v>
      </c>
      <c r="K10" s="7"/>
    </row>
    <row r="11" spans="1:11" s="6" customFormat="1" x14ac:dyDescent="0.2">
      <c r="B11" s="6" t="s">
        <v>5</v>
      </c>
      <c r="C11" s="6" t="s">
        <v>218</v>
      </c>
      <c r="E11" s="6" t="s">
        <v>53</v>
      </c>
      <c r="F11" s="6" t="s">
        <v>222</v>
      </c>
      <c r="G11" s="6">
        <v>3</v>
      </c>
      <c r="H11" s="6">
        <v>1217</v>
      </c>
      <c r="I11" s="6" t="s">
        <v>56</v>
      </c>
      <c r="K11" s="7"/>
    </row>
    <row r="12" spans="1:11" s="3" customFormat="1" x14ac:dyDescent="0.2">
      <c r="B12" s="3" t="s">
        <v>5</v>
      </c>
      <c r="C12" s="3" t="s">
        <v>27</v>
      </c>
      <c r="E12" s="3" t="s">
        <v>53</v>
      </c>
      <c r="F12" s="3" t="s">
        <v>121</v>
      </c>
      <c r="G12" s="3">
        <v>16</v>
      </c>
      <c r="H12" s="3">
        <v>1215</v>
      </c>
      <c r="I12" s="3" t="s">
        <v>7</v>
      </c>
      <c r="K12" s="4"/>
    </row>
    <row r="13" spans="1:11" s="3" customFormat="1" x14ac:dyDescent="0.2">
      <c r="B13" s="3" t="s">
        <v>15</v>
      </c>
      <c r="C13" s="3" t="s">
        <v>54</v>
      </c>
      <c r="E13" s="3" t="s">
        <v>53</v>
      </c>
      <c r="F13" s="3" t="s">
        <v>122</v>
      </c>
      <c r="G13" s="3">
        <v>8</v>
      </c>
      <c r="H13" s="3">
        <v>1213</v>
      </c>
      <c r="I13" s="3" t="s">
        <v>55</v>
      </c>
    </row>
    <row r="14" spans="1:11" s="3" customFormat="1" x14ac:dyDescent="0.2">
      <c r="B14" s="3" t="s">
        <v>15</v>
      </c>
      <c r="C14" s="3" t="s">
        <v>57</v>
      </c>
      <c r="E14" s="3" t="s">
        <v>58</v>
      </c>
      <c r="F14" s="3" t="s">
        <v>123</v>
      </c>
      <c r="G14" s="3">
        <v>6</v>
      </c>
      <c r="H14" s="3">
        <v>1228</v>
      </c>
      <c r="I14" s="3" t="s">
        <v>59</v>
      </c>
    </row>
    <row r="15" spans="1:11" s="3" customFormat="1" x14ac:dyDescent="0.2">
      <c r="B15" s="3" t="s">
        <v>15</v>
      </c>
      <c r="C15" s="3" t="s">
        <v>125</v>
      </c>
      <c r="E15" s="3" t="s">
        <v>58</v>
      </c>
      <c r="F15" s="3" t="s">
        <v>124</v>
      </c>
      <c r="G15" s="3">
        <v>30</v>
      </c>
      <c r="H15" s="3">
        <v>1216</v>
      </c>
      <c r="I15" s="3" t="s">
        <v>126</v>
      </c>
    </row>
    <row r="16" spans="1:11" s="13" customFormat="1" x14ac:dyDescent="0.2">
      <c r="B16" s="13" t="s">
        <v>5</v>
      </c>
      <c r="C16" s="13" t="s">
        <v>264</v>
      </c>
      <c r="E16" s="13" t="s">
        <v>53</v>
      </c>
      <c r="F16" s="13" t="s">
        <v>265</v>
      </c>
      <c r="G16" s="13">
        <v>16</v>
      </c>
      <c r="H16" s="13">
        <v>1242</v>
      </c>
      <c r="I16" s="13" t="s">
        <v>266</v>
      </c>
    </row>
    <row r="17" spans="2:10" s="3" customFormat="1" x14ac:dyDescent="0.2">
      <c r="B17" s="3" t="s">
        <v>5</v>
      </c>
      <c r="C17" s="3" t="s">
        <v>193</v>
      </c>
      <c r="E17" s="3" t="s">
        <v>53</v>
      </c>
      <c r="F17" s="3" t="s">
        <v>195</v>
      </c>
      <c r="G17" s="3">
        <v>79</v>
      </c>
      <c r="H17" s="3">
        <v>1290</v>
      </c>
      <c r="I17" s="3" t="s">
        <v>194</v>
      </c>
    </row>
    <row r="18" spans="2:10" s="3" customFormat="1" x14ac:dyDescent="0.2">
      <c r="B18" s="3" t="s">
        <v>51</v>
      </c>
      <c r="C18" s="3" t="s">
        <v>403</v>
      </c>
      <c r="E18" s="3" t="s">
        <v>53</v>
      </c>
      <c r="F18" s="3" t="s">
        <v>128</v>
      </c>
      <c r="G18" s="3">
        <v>10</v>
      </c>
      <c r="H18" s="3">
        <v>1228</v>
      </c>
      <c r="I18" s="3" t="s">
        <v>59</v>
      </c>
      <c r="J18" s="3" t="s">
        <v>404</v>
      </c>
    </row>
    <row r="19" spans="2:10" s="6" customFormat="1" x14ac:dyDescent="0.2">
      <c r="B19" s="6" t="s">
        <v>51</v>
      </c>
      <c r="C19" s="6" t="s">
        <v>231</v>
      </c>
      <c r="E19" s="6" t="s">
        <v>53</v>
      </c>
      <c r="F19" s="6" t="s">
        <v>233</v>
      </c>
      <c r="G19" s="6">
        <v>19</v>
      </c>
      <c r="H19" s="6">
        <v>1228</v>
      </c>
      <c r="I19" s="6" t="s">
        <v>59</v>
      </c>
    </row>
    <row r="20" spans="2:10" s="6" customFormat="1" x14ac:dyDescent="0.2">
      <c r="B20" s="6" t="s">
        <v>18</v>
      </c>
      <c r="C20" s="6" t="s">
        <v>190</v>
      </c>
      <c r="E20" s="6" t="s">
        <v>53</v>
      </c>
      <c r="F20" s="6" t="s">
        <v>192</v>
      </c>
      <c r="G20" s="6">
        <v>14</v>
      </c>
      <c r="H20" s="6">
        <v>1246</v>
      </c>
      <c r="I20" s="6" t="s">
        <v>191</v>
      </c>
    </row>
    <row r="21" spans="2:10" s="6" customFormat="1" x14ac:dyDescent="0.2">
      <c r="B21" s="6" t="s">
        <v>28</v>
      </c>
      <c r="C21" s="6" t="s">
        <v>29</v>
      </c>
      <c r="E21" s="6" t="s">
        <v>53</v>
      </c>
      <c r="F21" s="6" t="s">
        <v>129</v>
      </c>
      <c r="G21" s="6">
        <v>214</v>
      </c>
      <c r="H21" s="6">
        <v>1217</v>
      </c>
      <c r="I21" s="6" t="s">
        <v>56</v>
      </c>
    </row>
    <row r="22" spans="2:10" s="6" customFormat="1" x14ac:dyDescent="0.2">
      <c r="B22" s="6" t="s">
        <v>39</v>
      </c>
      <c r="C22" s="6" t="s">
        <v>130</v>
      </c>
      <c r="E22" s="6" t="s">
        <v>53</v>
      </c>
      <c r="F22" s="6" t="s">
        <v>131</v>
      </c>
      <c r="G22" s="6">
        <v>3</v>
      </c>
      <c r="H22" s="6">
        <v>1206</v>
      </c>
      <c r="I22" s="6" t="s">
        <v>7</v>
      </c>
    </row>
    <row r="23" spans="2:10" s="6" customFormat="1" x14ac:dyDescent="0.2">
      <c r="B23" s="6" t="s">
        <v>28</v>
      </c>
      <c r="C23" s="6" t="s">
        <v>242</v>
      </c>
      <c r="E23" s="6" t="s">
        <v>53</v>
      </c>
      <c r="F23" s="6" t="s">
        <v>243</v>
      </c>
      <c r="G23" s="6">
        <v>2</v>
      </c>
      <c r="H23" s="6">
        <v>1202</v>
      </c>
      <c r="I23" s="6" t="s">
        <v>7</v>
      </c>
    </row>
    <row r="24" spans="2:10" s="11" customFormat="1" x14ac:dyDescent="0.2">
      <c r="B24" s="11" t="s">
        <v>28</v>
      </c>
      <c r="C24" s="11" t="s">
        <v>304</v>
      </c>
      <c r="E24" s="11" t="s">
        <v>53</v>
      </c>
      <c r="F24" s="11" t="s">
        <v>305</v>
      </c>
      <c r="G24" s="11">
        <v>158</v>
      </c>
      <c r="H24" s="11">
        <v>1245</v>
      </c>
      <c r="I24" s="11" t="s">
        <v>306</v>
      </c>
    </row>
    <row r="25" spans="2:10" s="6" customFormat="1" x14ac:dyDescent="0.2">
      <c r="B25" s="6" t="s">
        <v>234</v>
      </c>
      <c r="C25" s="6" t="s">
        <v>29</v>
      </c>
      <c r="E25" s="6" t="s">
        <v>53</v>
      </c>
      <c r="F25" s="6" t="s">
        <v>235</v>
      </c>
      <c r="G25" s="6">
        <v>32</v>
      </c>
      <c r="H25" s="6">
        <v>1217</v>
      </c>
      <c r="I25" s="6" t="s">
        <v>56</v>
      </c>
    </row>
    <row r="26" spans="2:10" s="10" customFormat="1" x14ac:dyDescent="0.2">
      <c r="B26" s="10" t="s">
        <v>61</v>
      </c>
      <c r="C26" s="10" t="s">
        <v>213</v>
      </c>
      <c r="E26" s="10" t="s">
        <v>58</v>
      </c>
      <c r="F26" s="10" t="s">
        <v>223</v>
      </c>
      <c r="G26" s="10">
        <v>4</v>
      </c>
      <c r="H26" s="10">
        <v>1201</v>
      </c>
      <c r="I26" s="10" t="s">
        <v>7</v>
      </c>
      <c r="J26" s="10" t="s">
        <v>271</v>
      </c>
    </row>
    <row r="27" spans="2:10" s="3" customFormat="1" x14ac:dyDescent="0.2">
      <c r="B27" s="3" t="s">
        <v>61</v>
      </c>
      <c r="C27" s="3" t="s">
        <v>62</v>
      </c>
      <c r="E27" s="3" t="s">
        <v>53</v>
      </c>
      <c r="F27" s="3" t="s">
        <v>132</v>
      </c>
      <c r="G27" s="3">
        <v>50</v>
      </c>
      <c r="H27" s="3">
        <v>1204</v>
      </c>
      <c r="I27" s="3" t="s">
        <v>7</v>
      </c>
    </row>
    <row r="28" spans="2:10" x14ac:dyDescent="0.2">
      <c r="B28" s="3" t="s">
        <v>61</v>
      </c>
      <c r="C28" s="3" t="s">
        <v>212</v>
      </c>
      <c r="E28" s="3" t="s">
        <v>53</v>
      </c>
      <c r="F28" s="3" t="s">
        <v>222</v>
      </c>
      <c r="G28" s="3">
        <v>3</v>
      </c>
      <c r="H28" s="3">
        <v>1217</v>
      </c>
      <c r="I28" s="3" t="s">
        <v>56</v>
      </c>
    </row>
    <row r="29" spans="2:10" s="3" customFormat="1" x14ac:dyDescent="0.2">
      <c r="B29" s="3" t="s">
        <v>63</v>
      </c>
      <c r="C29" s="3" t="s">
        <v>64</v>
      </c>
      <c r="E29" s="3" t="s">
        <v>53</v>
      </c>
      <c r="F29" s="3" t="s">
        <v>121</v>
      </c>
      <c r="G29" s="3">
        <v>29</v>
      </c>
      <c r="H29" s="3">
        <v>1215</v>
      </c>
      <c r="I29" s="3" t="s">
        <v>7</v>
      </c>
    </row>
    <row r="30" spans="2:10" s="3" customFormat="1" x14ac:dyDescent="0.2">
      <c r="B30" s="3" t="s">
        <v>63</v>
      </c>
      <c r="C30" s="3" t="s">
        <v>65</v>
      </c>
      <c r="E30" s="3" t="s">
        <v>53</v>
      </c>
      <c r="F30" s="3" t="s">
        <v>121</v>
      </c>
      <c r="G30" s="3">
        <v>29</v>
      </c>
      <c r="H30" s="3">
        <v>1215</v>
      </c>
      <c r="I30" s="3" t="s">
        <v>7</v>
      </c>
    </row>
    <row r="31" spans="2:10" s="15" customFormat="1" x14ac:dyDescent="0.2">
      <c r="B31" s="15" t="s">
        <v>63</v>
      </c>
      <c r="C31" s="15" t="s">
        <v>329</v>
      </c>
      <c r="E31" s="15" t="s">
        <v>53</v>
      </c>
      <c r="F31" s="15" t="s">
        <v>303</v>
      </c>
      <c r="G31" s="15">
        <v>15</v>
      </c>
      <c r="H31" s="15">
        <v>1201</v>
      </c>
      <c r="I31" s="15" t="s">
        <v>7</v>
      </c>
      <c r="J31" s="15" t="s">
        <v>271</v>
      </c>
    </row>
    <row r="32" spans="2:10" s="15" customFormat="1" x14ac:dyDescent="0.2">
      <c r="B32" s="15" t="s">
        <v>18</v>
      </c>
      <c r="C32" s="15" t="s">
        <v>376</v>
      </c>
      <c r="E32" s="15" t="s">
        <v>53</v>
      </c>
      <c r="F32" s="15" t="s">
        <v>378</v>
      </c>
      <c r="G32" s="15">
        <v>130</v>
      </c>
      <c r="H32" s="15">
        <v>1234</v>
      </c>
      <c r="I32" s="15" t="s">
        <v>377</v>
      </c>
      <c r="J32" s="15" t="s">
        <v>271</v>
      </c>
    </row>
    <row r="33" spans="1:10" s="10" customFormat="1" x14ac:dyDescent="0.2">
      <c r="B33" s="10" t="s">
        <v>18</v>
      </c>
      <c r="C33" s="10" t="s">
        <v>270</v>
      </c>
      <c r="E33" s="10" t="s">
        <v>53</v>
      </c>
      <c r="F33" s="10" t="s">
        <v>127</v>
      </c>
      <c r="G33" s="10">
        <v>314</v>
      </c>
      <c r="I33" s="10" t="s">
        <v>85</v>
      </c>
      <c r="J33" s="10" t="s">
        <v>271</v>
      </c>
    </row>
    <row r="34" spans="1:10" s="11" customFormat="1" x14ac:dyDescent="0.2">
      <c r="B34" s="11" t="s">
        <v>15</v>
      </c>
      <c r="C34" s="11" t="s">
        <v>379</v>
      </c>
      <c r="E34" s="11" t="s">
        <v>53</v>
      </c>
      <c r="F34" s="11" t="s">
        <v>129</v>
      </c>
      <c r="G34" s="11">
        <v>127</v>
      </c>
      <c r="H34" s="11">
        <v>1219</v>
      </c>
      <c r="I34" s="11" t="s">
        <v>380</v>
      </c>
      <c r="J34" s="11" t="s">
        <v>301</v>
      </c>
    </row>
    <row r="35" spans="1:10" s="11" customFormat="1" x14ac:dyDescent="0.2">
      <c r="B35" s="11" t="s">
        <v>63</v>
      </c>
      <c r="C35" s="11" t="s">
        <v>381</v>
      </c>
      <c r="E35" s="11" t="s">
        <v>53</v>
      </c>
      <c r="F35" s="11" t="s">
        <v>388</v>
      </c>
      <c r="G35" s="11">
        <v>1</v>
      </c>
      <c r="H35" s="11">
        <v>1219</v>
      </c>
      <c r="I35" s="11" t="s">
        <v>380</v>
      </c>
      <c r="J35" s="11" t="s">
        <v>232</v>
      </c>
    </row>
    <row r="36" spans="1:10" s="11" customFormat="1" x14ac:dyDescent="0.2">
      <c r="B36" s="11" t="s">
        <v>63</v>
      </c>
      <c r="C36" s="11" t="s">
        <v>382</v>
      </c>
      <c r="E36" s="11" t="s">
        <v>53</v>
      </c>
      <c r="F36" s="11" t="s">
        <v>387</v>
      </c>
      <c r="G36" s="11">
        <v>77</v>
      </c>
      <c r="H36" s="11">
        <v>1203</v>
      </c>
      <c r="I36" s="11" t="s">
        <v>7</v>
      </c>
      <c r="J36" s="11" t="s">
        <v>232</v>
      </c>
    </row>
    <row r="37" spans="1:10" s="11" customFormat="1" x14ac:dyDescent="0.2">
      <c r="B37" s="11" t="s">
        <v>63</v>
      </c>
      <c r="C37" s="11" t="s">
        <v>383</v>
      </c>
      <c r="E37" s="11" t="s">
        <v>53</v>
      </c>
      <c r="F37" s="11" t="s">
        <v>121</v>
      </c>
      <c r="G37" s="11">
        <v>14</v>
      </c>
      <c r="H37" s="11">
        <v>1216</v>
      </c>
      <c r="I37" s="11" t="s">
        <v>126</v>
      </c>
      <c r="J37" s="11" t="s">
        <v>232</v>
      </c>
    </row>
    <row r="38" spans="1:10" s="11" customFormat="1" x14ac:dyDescent="0.2">
      <c r="B38" s="11" t="s">
        <v>63</v>
      </c>
      <c r="C38" s="11" t="s">
        <v>384</v>
      </c>
      <c r="E38" s="11" t="s">
        <v>53</v>
      </c>
      <c r="F38" s="11" t="s">
        <v>389</v>
      </c>
      <c r="G38" s="11">
        <v>4</v>
      </c>
      <c r="H38" s="11">
        <v>1212</v>
      </c>
      <c r="I38" s="11" t="s">
        <v>390</v>
      </c>
      <c r="J38" s="11" t="s">
        <v>232</v>
      </c>
    </row>
    <row r="39" spans="1:10" s="11" customFormat="1" x14ac:dyDescent="0.2">
      <c r="B39" s="11" t="s">
        <v>63</v>
      </c>
      <c r="C39" s="11" t="s">
        <v>385</v>
      </c>
      <c r="E39" s="11" t="s">
        <v>53</v>
      </c>
      <c r="F39" s="11" t="s">
        <v>391</v>
      </c>
      <c r="G39" s="11">
        <v>150</v>
      </c>
      <c r="H39" s="11">
        <v>1217</v>
      </c>
      <c r="I39" s="11" t="s">
        <v>56</v>
      </c>
      <c r="J39" s="11" t="s">
        <v>301</v>
      </c>
    </row>
    <row r="40" spans="1:10" s="11" customFormat="1" x14ac:dyDescent="0.2">
      <c r="B40" s="11" t="s">
        <v>63</v>
      </c>
      <c r="C40" s="11" t="s">
        <v>386</v>
      </c>
      <c r="E40" s="11" t="s">
        <v>53</v>
      </c>
      <c r="F40" s="11" t="s">
        <v>392</v>
      </c>
      <c r="G40" s="16" t="s">
        <v>115</v>
      </c>
      <c r="H40" s="11">
        <v>1290</v>
      </c>
      <c r="I40" s="11" t="s">
        <v>194</v>
      </c>
      <c r="J40" s="11" t="s">
        <v>232</v>
      </c>
    </row>
    <row r="41" spans="1:10" x14ac:dyDescent="0.2">
      <c r="B41" s="11" t="s">
        <v>63</v>
      </c>
      <c r="C41" s="11" t="s">
        <v>410</v>
      </c>
      <c r="E41" s="11" t="s">
        <v>58</v>
      </c>
      <c r="F41" s="11" t="s">
        <v>411</v>
      </c>
      <c r="G41" s="11">
        <v>2</v>
      </c>
      <c r="H41" s="11">
        <v>1202</v>
      </c>
      <c r="I41" s="11" t="s">
        <v>7</v>
      </c>
      <c r="J41" s="11" t="s">
        <v>232</v>
      </c>
    </row>
    <row r="44" spans="1:10" x14ac:dyDescent="0.2">
      <c r="A44">
        <v>37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="125" workbookViewId="0">
      <pane ySplit="1" topLeftCell="A3" activePane="bottomLeft" state="frozen"/>
      <selection pane="bottomLeft" activeCell="A28" sqref="A28"/>
    </sheetView>
  </sheetViews>
  <sheetFormatPr baseColWidth="10" defaultRowHeight="16" x14ac:dyDescent="0.2"/>
  <cols>
    <col min="3" max="3" width="28.1640625" customWidth="1"/>
    <col min="4" max="4" width="18.6640625" customWidth="1"/>
    <col min="5" max="5" width="16.6640625" customWidth="1"/>
    <col min="6" max="6" width="24.33203125" customWidth="1"/>
    <col min="7" max="7" width="8.33203125" customWidth="1"/>
    <col min="8" max="8" width="11.5" customWidth="1"/>
    <col min="9" max="9" width="21.1640625" customWidth="1"/>
    <col min="11" max="11" width="16" customWidth="1"/>
  </cols>
  <sheetData>
    <row r="1" spans="1:11" s="1" customFormat="1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60</v>
      </c>
      <c r="G1" s="1" t="s">
        <v>99</v>
      </c>
      <c r="H1" s="1" t="s">
        <v>116</v>
      </c>
      <c r="I1" s="1" t="s">
        <v>3</v>
      </c>
      <c r="K1" s="1" t="s">
        <v>177</v>
      </c>
    </row>
    <row r="2" spans="1:11" s="6" customFormat="1" x14ac:dyDescent="0.2">
      <c r="A2" s="7">
        <v>43486</v>
      </c>
      <c r="B2" s="6" t="s">
        <v>5</v>
      </c>
      <c r="C2" s="6" t="s">
        <v>9</v>
      </c>
      <c r="D2" s="6" t="s">
        <v>10</v>
      </c>
      <c r="E2" s="6" t="s">
        <v>6</v>
      </c>
      <c r="F2" s="6" t="s">
        <v>133</v>
      </c>
      <c r="G2" s="6">
        <v>9</v>
      </c>
      <c r="H2" s="6">
        <v>1400</v>
      </c>
      <c r="I2" s="6" t="s">
        <v>134</v>
      </c>
    </row>
    <row r="3" spans="1:11" s="6" customFormat="1" x14ac:dyDescent="0.2">
      <c r="A3" s="7">
        <v>44326</v>
      </c>
      <c r="B3" s="6" t="s">
        <v>5</v>
      </c>
      <c r="C3" s="6" t="s">
        <v>186</v>
      </c>
      <c r="D3" s="6" t="s">
        <v>187</v>
      </c>
      <c r="E3" s="6" t="s">
        <v>6</v>
      </c>
      <c r="F3" s="6" t="s">
        <v>188</v>
      </c>
      <c r="G3" s="6">
        <v>25</v>
      </c>
      <c r="H3" s="6">
        <v>1452</v>
      </c>
      <c r="I3" s="6" t="s">
        <v>189</v>
      </c>
    </row>
    <row r="4" spans="1:11" s="6" customFormat="1" x14ac:dyDescent="0.2">
      <c r="A4" s="7"/>
      <c r="B4" s="6" t="s">
        <v>15</v>
      </c>
      <c r="C4" s="6" t="s">
        <v>240</v>
      </c>
      <c r="E4" s="6" t="s">
        <v>6</v>
      </c>
      <c r="F4" s="6" t="s">
        <v>241</v>
      </c>
      <c r="G4" s="6">
        <v>22</v>
      </c>
      <c r="H4" s="6">
        <v>1401</v>
      </c>
      <c r="I4" s="6" t="s">
        <v>134</v>
      </c>
    </row>
    <row r="5" spans="1:11" s="6" customFormat="1" x14ac:dyDescent="0.2">
      <c r="B5" s="6" t="s">
        <v>5</v>
      </c>
      <c r="C5" s="6" t="s">
        <v>136</v>
      </c>
      <c r="E5" s="6" t="s">
        <v>6</v>
      </c>
      <c r="F5" s="6" t="s">
        <v>137</v>
      </c>
      <c r="G5" s="6">
        <v>3</v>
      </c>
      <c r="H5" s="6">
        <v>1470</v>
      </c>
      <c r="I5" s="6" t="s">
        <v>135</v>
      </c>
    </row>
    <row r="6" spans="1:11" s="13" customFormat="1" x14ac:dyDescent="0.2">
      <c r="B6" s="13" t="s">
        <v>15</v>
      </c>
      <c r="C6" s="13" t="s">
        <v>43</v>
      </c>
      <c r="E6" s="13" t="s">
        <v>6</v>
      </c>
      <c r="F6" s="13" t="s">
        <v>239</v>
      </c>
      <c r="G6" s="13">
        <v>3</v>
      </c>
      <c r="H6" s="13">
        <v>1630</v>
      </c>
      <c r="I6" s="13" t="s">
        <v>238</v>
      </c>
    </row>
    <row r="7" spans="1:11" s="6" customFormat="1" x14ac:dyDescent="0.2">
      <c r="B7" s="6" t="s">
        <v>5</v>
      </c>
      <c r="C7" s="6" t="s">
        <v>138</v>
      </c>
      <c r="E7" s="6" t="s">
        <v>6</v>
      </c>
      <c r="F7" s="6" t="s">
        <v>139</v>
      </c>
      <c r="G7" s="6">
        <v>16</v>
      </c>
      <c r="H7" s="6">
        <v>1630</v>
      </c>
      <c r="I7" s="6" t="s">
        <v>42</v>
      </c>
    </row>
    <row r="8" spans="1:11" s="6" customFormat="1" x14ac:dyDescent="0.2">
      <c r="B8" s="6" t="s">
        <v>5</v>
      </c>
      <c r="C8" s="6" t="s">
        <v>118</v>
      </c>
      <c r="E8" s="6" t="s">
        <v>6</v>
      </c>
      <c r="F8" s="6" t="s">
        <v>140</v>
      </c>
      <c r="G8" s="6">
        <v>19</v>
      </c>
      <c r="H8" s="6">
        <v>1763</v>
      </c>
      <c r="I8" s="6" t="s">
        <v>141</v>
      </c>
    </row>
    <row r="9" spans="1:11" s="6" customFormat="1" x14ac:dyDescent="0.2">
      <c r="B9" s="6" t="s">
        <v>5</v>
      </c>
      <c r="C9" s="6" t="s">
        <v>142</v>
      </c>
      <c r="E9" s="6" t="s">
        <v>6</v>
      </c>
      <c r="F9" s="6" t="s">
        <v>143</v>
      </c>
      <c r="G9" s="6">
        <v>25</v>
      </c>
      <c r="H9" s="6">
        <v>3286</v>
      </c>
      <c r="I9" s="6" t="s">
        <v>66</v>
      </c>
      <c r="K9" s="7"/>
    </row>
    <row r="10" spans="1:11" s="6" customFormat="1" x14ac:dyDescent="0.2">
      <c r="B10" s="6" t="s">
        <v>5</v>
      </c>
      <c r="C10" s="6" t="s">
        <v>165</v>
      </c>
      <c r="E10" s="6" t="s">
        <v>6</v>
      </c>
      <c r="F10" s="6" t="s">
        <v>167</v>
      </c>
      <c r="G10" s="6">
        <v>10</v>
      </c>
      <c r="H10" s="6">
        <v>1716</v>
      </c>
      <c r="I10" s="6" t="s">
        <v>166</v>
      </c>
    </row>
    <row r="11" spans="1:11" s="10" customFormat="1" x14ac:dyDescent="0.2">
      <c r="B11" s="10" t="s">
        <v>5</v>
      </c>
      <c r="C11" s="10" t="s">
        <v>197</v>
      </c>
      <c r="E11" s="10" t="s">
        <v>6</v>
      </c>
      <c r="F11" s="10" t="s">
        <v>198</v>
      </c>
      <c r="G11" s="10">
        <v>21</v>
      </c>
      <c r="H11" s="10">
        <v>2024</v>
      </c>
      <c r="I11" s="10" t="s">
        <v>199</v>
      </c>
      <c r="J11" s="10" t="s">
        <v>433</v>
      </c>
    </row>
    <row r="12" spans="1:11" s="13" customFormat="1" x14ac:dyDescent="0.2">
      <c r="B12" s="13" t="s">
        <v>253</v>
      </c>
      <c r="C12" s="13" t="s">
        <v>267</v>
      </c>
      <c r="E12" s="13" t="s">
        <v>6</v>
      </c>
      <c r="F12" s="13" t="s">
        <v>268</v>
      </c>
      <c r="G12" s="13">
        <v>45</v>
      </c>
      <c r="H12" s="13">
        <v>2300</v>
      </c>
      <c r="I12" s="13" t="s">
        <v>215</v>
      </c>
    </row>
    <row r="13" spans="1:11" s="6" customFormat="1" x14ac:dyDescent="0.2">
      <c r="B13" s="6" t="s">
        <v>5</v>
      </c>
      <c r="C13" s="6" t="s">
        <v>224</v>
      </c>
      <c r="E13" s="6" t="s">
        <v>6</v>
      </c>
      <c r="F13" s="6" t="s">
        <v>225</v>
      </c>
      <c r="G13" s="6">
        <v>1</v>
      </c>
      <c r="H13" s="6">
        <v>2075</v>
      </c>
      <c r="I13" s="6" t="s">
        <v>226</v>
      </c>
    </row>
    <row r="14" spans="1:11" s="13" customFormat="1" x14ac:dyDescent="0.2">
      <c r="B14" s="13" t="s">
        <v>253</v>
      </c>
      <c r="C14" s="13" t="s">
        <v>254</v>
      </c>
      <c r="E14" s="13" t="s">
        <v>6</v>
      </c>
      <c r="F14" s="13" t="s">
        <v>255</v>
      </c>
      <c r="G14" s="13">
        <v>2</v>
      </c>
      <c r="H14" s="13">
        <v>2008</v>
      </c>
      <c r="I14" s="13" t="s">
        <v>226</v>
      </c>
    </row>
    <row r="15" spans="1:11" s="11" customFormat="1" x14ac:dyDescent="0.2">
      <c r="B15" s="11" t="s">
        <v>253</v>
      </c>
      <c r="C15" s="11" t="s">
        <v>341</v>
      </c>
      <c r="E15" s="11" t="s">
        <v>342</v>
      </c>
      <c r="F15" s="11" t="s">
        <v>344</v>
      </c>
      <c r="G15" s="11">
        <v>10</v>
      </c>
      <c r="H15" s="11">
        <v>2350</v>
      </c>
      <c r="I15" s="11" t="s">
        <v>343</v>
      </c>
    </row>
    <row r="16" spans="1:11" s="6" customFormat="1" x14ac:dyDescent="0.2">
      <c r="B16" s="6" t="s">
        <v>18</v>
      </c>
      <c r="C16" s="6" t="s">
        <v>196</v>
      </c>
      <c r="E16" s="6" t="s">
        <v>6</v>
      </c>
      <c r="F16" s="6" t="s">
        <v>200</v>
      </c>
      <c r="G16" s="6">
        <v>2</v>
      </c>
      <c r="H16" s="6">
        <v>1630</v>
      </c>
      <c r="I16" s="6" t="s">
        <v>42</v>
      </c>
    </row>
    <row r="17" spans="1:10" s="6" customFormat="1" x14ac:dyDescent="0.2">
      <c r="B17" s="6" t="s">
        <v>18</v>
      </c>
      <c r="C17" s="6" t="s">
        <v>214</v>
      </c>
      <c r="E17" s="6" t="s">
        <v>6</v>
      </c>
      <c r="F17" s="6" t="s">
        <v>227</v>
      </c>
      <c r="G17" s="6">
        <v>91</v>
      </c>
      <c r="H17" s="6">
        <v>2300</v>
      </c>
      <c r="I17" s="6" t="s">
        <v>215</v>
      </c>
    </row>
    <row r="18" spans="1:10" s="13" customFormat="1" x14ac:dyDescent="0.2">
      <c r="B18" s="13" t="s">
        <v>161</v>
      </c>
      <c r="C18" s="13" t="s">
        <v>248</v>
      </c>
      <c r="E18" s="13" t="s">
        <v>50</v>
      </c>
      <c r="F18" s="13" t="s">
        <v>249</v>
      </c>
      <c r="G18" s="13">
        <v>2</v>
      </c>
      <c r="H18" s="13">
        <v>2300</v>
      </c>
      <c r="I18" s="13" t="s">
        <v>215</v>
      </c>
    </row>
    <row r="19" spans="1:10" s="6" customFormat="1" x14ac:dyDescent="0.2">
      <c r="A19" s="7">
        <v>44286</v>
      </c>
      <c r="B19" s="6" t="s">
        <v>161</v>
      </c>
      <c r="C19" s="6" t="s">
        <v>31</v>
      </c>
      <c r="E19" s="6" t="s">
        <v>6</v>
      </c>
      <c r="F19" s="6" t="s">
        <v>201</v>
      </c>
      <c r="G19" s="6">
        <v>36</v>
      </c>
      <c r="H19" s="6">
        <v>1530</v>
      </c>
      <c r="I19" s="6" t="s">
        <v>41</v>
      </c>
    </row>
    <row r="20" spans="1:10" s="6" customFormat="1" x14ac:dyDescent="0.2">
      <c r="B20" s="6" t="s">
        <v>63</v>
      </c>
      <c r="C20" s="6" t="s">
        <v>40</v>
      </c>
      <c r="E20" s="6" t="s">
        <v>6</v>
      </c>
      <c r="F20" s="6" t="s">
        <v>40</v>
      </c>
      <c r="G20" s="6">
        <v>132</v>
      </c>
      <c r="H20" s="6">
        <v>1530</v>
      </c>
      <c r="I20" s="6" t="s">
        <v>41</v>
      </c>
    </row>
    <row r="21" spans="1:10" s="13" customFormat="1" x14ac:dyDescent="0.2">
      <c r="B21" s="13" t="s">
        <v>63</v>
      </c>
      <c r="C21" s="13" t="s">
        <v>236</v>
      </c>
      <c r="E21" s="13" t="s">
        <v>6</v>
      </c>
      <c r="F21" s="13" t="s">
        <v>237</v>
      </c>
      <c r="G21" s="13">
        <v>56</v>
      </c>
      <c r="H21" s="13">
        <v>2300</v>
      </c>
      <c r="I21" s="13" t="s">
        <v>215</v>
      </c>
    </row>
    <row r="22" spans="1:10" s="11" customFormat="1" x14ac:dyDescent="0.2">
      <c r="B22" s="11" t="s">
        <v>15</v>
      </c>
      <c r="C22" s="11" t="s">
        <v>397</v>
      </c>
      <c r="E22" s="11" t="s">
        <v>6</v>
      </c>
      <c r="F22" s="11" t="s">
        <v>398</v>
      </c>
      <c r="G22" s="11">
        <v>24</v>
      </c>
      <c r="H22" s="11">
        <v>1400</v>
      </c>
      <c r="I22" s="11" t="s">
        <v>134</v>
      </c>
      <c r="J22" s="11" t="s">
        <v>232</v>
      </c>
    </row>
    <row r="23" spans="1:10" s="11" customFormat="1" x14ac:dyDescent="0.2">
      <c r="B23" s="11" t="s">
        <v>15</v>
      </c>
      <c r="C23" s="11" t="s">
        <v>399</v>
      </c>
      <c r="E23" s="11" t="s">
        <v>6</v>
      </c>
      <c r="F23" s="11" t="s">
        <v>241</v>
      </c>
      <c r="G23" s="11">
        <v>21</v>
      </c>
      <c r="H23" s="11">
        <v>1400</v>
      </c>
      <c r="I23" s="11" t="s">
        <v>134</v>
      </c>
      <c r="J23" s="11" t="s">
        <v>232</v>
      </c>
    </row>
    <row r="24" spans="1:10" s="11" customFormat="1" x14ac:dyDescent="0.2">
      <c r="B24" s="11" t="s">
        <v>61</v>
      </c>
      <c r="C24" s="11" t="s">
        <v>400</v>
      </c>
      <c r="E24" s="11" t="s">
        <v>6</v>
      </c>
      <c r="F24" s="11" t="s">
        <v>401</v>
      </c>
      <c r="G24" s="11">
        <v>4</v>
      </c>
      <c r="H24" s="11">
        <v>1376</v>
      </c>
      <c r="I24" s="11" t="s">
        <v>402</v>
      </c>
      <c r="J24" s="11" t="s">
        <v>232</v>
      </c>
    </row>
    <row r="28" spans="1:10" x14ac:dyDescent="0.2">
      <c r="A28">
        <v>22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A6" zoomScale="138" workbookViewId="0">
      <selection activeCell="A26" sqref="A26"/>
    </sheetView>
  </sheetViews>
  <sheetFormatPr baseColWidth="10" defaultRowHeight="16" x14ac:dyDescent="0.2"/>
  <cols>
    <col min="3" max="3" width="22.1640625" customWidth="1"/>
    <col min="4" max="5" width="17.83203125" customWidth="1"/>
    <col min="6" max="6" width="22.1640625" customWidth="1"/>
    <col min="7" max="7" width="8.1640625" customWidth="1"/>
    <col min="8" max="8" width="11.6640625" customWidth="1"/>
  </cols>
  <sheetData>
    <row r="1" spans="1:10" x14ac:dyDescent="0.2">
      <c r="A1" s="2" t="s">
        <v>8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60</v>
      </c>
      <c r="G1" s="2" t="s">
        <v>99</v>
      </c>
      <c r="H1" s="2" t="s">
        <v>87</v>
      </c>
      <c r="I1" s="2" t="s">
        <v>3</v>
      </c>
    </row>
    <row r="2" spans="1:10" s="3" customFormat="1" x14ac:dyDescent="0.2">
      <c r="B2" s="3" t="s">
        <v>5</v>
      </c>
      <c r="C2" s="3" t="s">
        <v>11</v>
      </c>
      <c r="D2" s="3" t="s">
        <v>12</v>
      </c>
      <c r="E2" s="3" t="s">
        <v>13</v>
      </c>
      <c r="F2" s="3" t="s">
        <v>144</v>
      </c>
      <c r="G2" s="3">
        <v>8</v>
      </c>
      <c r="H2" s="3">
        <v>1197</v>
      </c>
      <c r="I2" s="3" t="s">
        <v>14</v>
      </c>
    </row>
    <row r="3" spans="1:10" s="3" customFormat="1" x14ac:dyDescent="0.2">
      <c r="B3" s="3" t="s">
        <v>15</v>
      </c>
      <c r="C3" s="3" t="s">
        <v>16</v>
      </c>
      <c r="E3" s="3" t="s">
        <v>6</v>
      </c>
      <c r="F3" s="3" t="s">
        <v>145</v>
      </c>
      <c r="G3" s="3">
        <v>14</v>
      </c>
      <c r="H3" s="3">
        <v>1110</v>
      </c>
      <c r="I3" s="3" t="s">
        <v>21</v>
      </c>
    </row>
    <row r="4" spans="1:10" s="10" customFormat="1" x14ac:dyDescent="0.2">
      <c r="B4" s="10" t="s">
        <v>5</v>
      </c>
      <c r="C4" s="10" t="s">
        <v>43</v>
      </c>
      <c r="E4" s="10" t="s">
        <v>6</v>
      </c>
      <c r="F4" s="10" t="s">
        <v>147</v>
      </c>
      <c r="G4" s="10">
        <v>1</v>
      </c>
      <c r="H4" s="10">
        <v>1260</v>
      </c>
      <c r="I4" s="10" t="s">
        <v>22</v>
      </c>
      <c r="J4" s="10" t="s">
        <v>433</v>
      </c>
    </row>
    <row r="5" spans="1:10" s="3" customFormat="1" x14ac:dyDescent="0.2">
      <c r="B5" s="3" t="s">
        <v>15</v>
      </c>
      <c r="C5" s="3" t="s">
        <v>17</v>
      </c>
      <c r="E5" s="3" t="s">
        <v>6</v>
      </c>
      <c r="F5" s="3" t="s">
        <v>148</v>
      </c>
      <c r="G5" s="3">
        <v>15</v>
      </c>
      <c r="H5" s="3">
        <v>1260</v>
      </c>
      <c r="I5" s="3" t="s">
        <v>22</v>
      </c>
    </row>
    <row r="6" spans="1:10" s="11" customFormat="1" x14ac:dyDescent="0.2">
      <c r="B6" s="11" t="s">
        <v>5</v>
      </c>
      <c r="C6" s="11" t="s">
        <v>355</v>
      </c>
      <c r="E6" s="11" t="s">
        <v>6</v>
      </c>
      <c r="F6" s="11" t="s">
        <v>357</v>
      </c>
      <c r="G6" s="11" t="s">
        <v>358</v>
      </c>
      <c r="H6" s="11">
        <v>1279</v>
      </c>
      <c r="I6" s="11" t="s">
        <v>356</v>
      </c>
    </row>
    <row r="7" spans="1:10" s="3" customFormat="1" x14ac:dyDescent="0.2">
      <c r="B7" s="3" t="s">
        <v>15</v>
      </c>
      <c r="C7" s="3" t="s">
        <v>19</v>
      </c>
      <c r="E7" s="3" t="s">
        <v>6</v>
      </c>
      <c r="F7" s="3" t="s">
        <v>149</v>
      </c>
      <c r="G7" s="3">
        <v>2</v>
      </c>
      <c r="H7" s="3">
        <v>1196</v>
      </c>
      <c r="I7" s="3" t="s">
        <v>23</v>
      </c>
    </row>
    <row r="8" spans="1:10" s="13" customFormat="1" x14ac:dyDescent="0.2">
      <c r="B8" s="13" t="s">
        <v>5</v>
      </c>
      <c r="C8" s="13" t="s">
        <v>272</v>
      </c>
      <c r="E8" s="13" t="s">
        <v>6</v>
      </c>
      <c r="F8" s="13" t="s">
        <v>273</v>
      </c>
      <c r="G8" s="13">
        <v>1</v>
      </c>
      <c r="H8" s="13">
        <v>1163</v>
      </c>
      <c r="I8" s="13" t="s">
        <v>274</v>
      </c>
    </row>
    <row r="9" spans="1:10" s="11" customFormat="1" x14ac:dyDescent="0.2">
      <c r="B9" s="11" t="s">
        <v>63</v>
      </c>
      <c r="C9" s="11" t="s">
        <v>296</v>
      </c>
      <c r="E9" s="11" t="s">
        <v>6</v>
      </c>
      <c r="F9" s="11" t="s">
        <v>297</v>
      </c>
      <c r="G9" s="11" t="s">
        <v>298</v>
      </c>
      <c r="H9" s="11">
        <v>1163</v>
      </c>
      <c r="I9" s="11" t="s">
        <v>274</v>
      </c>
      <c r="J9" s="11" t="s">
        <v>232</v>
      </c>
    </row>
    <row r="10" spans="1:10" s="3" customFormat="1" x14ac:dyDescent="0.2">
      <c r="B10" s="3" t="s">
        <v>18</v>
      </c>
      <c r="C10" s="3" t="s">
        <v>67</v>
      </c>
      <c r="E10" s="3" t="s">
        <v>6</v>
      </c>
      <c r="F10" s="3" t="s">
        <v>150</v>
      </c>
      <c r="G10" s="3">
        <v>7</v>
      </c>
      <c r="H10" s="3">
        <v>1180</v>
      </c>
      <c r="I10" s="3" t="s">
        <v>68</v>
      </c>
    </row>
    <row r="11" spans="1:10" s="3" customFormat="1" x14ac:dyDescent="0.2">
      <c r="B11" s="3" t="s">
        <v>18</v>
      </c>
      <c r="C11" s="3" t="s">
        <v>20</v>
      </c>
      <c r="E11" s="3" t="s">
        <v>6</v>
      </c>
      <c r="F11" s="3" t="s">
        <v>151</v>
      </c>
      <c r="G11" s="3">
        <v>13</v>
      </c>
      <c r="H11" s="3">
        <v>1110</v>
      </c>
      <c r="I11" s="3" t="s">
        <v>21</v>
      </c>
    </row>
    <row r="12" spans="1:10" s="10" customFormat="1" x14ac:dyDescent="0.2">
      <c r="B12" s="10" t="s">
        <v>18</v>
      </c>
      <c r="C12" s="10" t="s">
        <v>49</v>
      </c>
      <c r="E12" s="10" t="s">
        <v>6</v>
      </c>
      <c r="F12" s="10" t="s">
        <v>152</v>
      </c>
      <c r="G12" s="10">
        <v>20</v>
      </c>
      <c r="H12" s="10">
        <v>1110</v>
      </c>
      <c r="I12" s="10" t="s">
        <v>21</v>
      </c>
      <c r="J12" s="10" t="s">
        <v>269</v>
      </c>
    </row>
    <row r="13" spans="1:10" s="3" customFormat="1" x14ac:dyDescent="0.2">
      <c r="B13" s="3" t="s">
        <v>18</v>
      </c>
      <c r="C13" s="3" t="s">
        <v>153</v>
      </c>
      <c r="E13" s="3" t="s">
        <v>6</v>
      </c>
      <c r="F13" s="3" t="s">
        <v>148</v>
      </c>
      <c r="G13" s="3">
        <v>13</v>
      </c>
      <c r="H13" s="3">
        <v>1260</v>
      </c>
      <c r="I13" s="3" t="s">
        <v>22</v>
      </c>
    </row>
    <row r="14" spans="1:10" s="13" customFormat="1" x14ac:dyDescent="0.2">
      <c r="B14" s="13" t="s">
        <v>18</v>
      </c>
      <c r="C14" s="13" t="s">
        <v>250</v>
      </c>
      <c r="D14" s="13" t="s">
        <v>251</v>
      </c>
      <c r="E14" s="13" t="s">
        <v>6</v>
      </c>
      <c r="F14" s="13" t="s">
        <v>252</v>
      </c>
      <c r="G14" s="13">
        <v>37</v>
      </c>
      <c r="H14" s="13">
        <v>1260</v>
      </c>
      <c r="I14" s="13" t="s">
        <v>22</v>
      </c>
    </row>
    <row r="15" spans="1:10" s="11" customFormat="1" x14ac:dyDescent="0.2">
      <c r="B15" s="11" t="s">
        <v>28</v>
      </c>
      <c r="C15" s="11" t="s">
        <v>288</v>
      </c>
      <c r="E15" s="11" t="s">
        <v>6</v>
      </c>
      <c r="F15" s="11" t="s">
        <v>289</v>
      </c>
      <c r="G15" s="11">
        <v>30</v>
      </c>
      <c r="H15" s="11">
        <v>1131</v>
      </c>
      <c r="I15" s="11" t="s">
        <v>290</v>
      </c>
      <c r="J15" s="11" t="s">
        <v>232</v>
      </c>
    </row>
    <row r="16" spans="1:10" s="3" customFormat="1" x14ac:dyDescent="0.2">
      <c r="B16" s="3" t="s">
        <v>28</v>
      </c>
      <c r="C16" s="3" t="s">
        <v>69</v>
      </c>
      <c r="E16" s="3" t="s">
        <v>6</v>
      </c>
      <c r="F16" s="3" t="s">
        <v>127</v>
      </c>
      <c r="G16" s="3">
        <v>114</v>
      </c>
      <c r="H16" s="3">
        <v>1197</v>
      </c>
      <c r="I16" s="3" t="s">
        <v>14</v>
      </c>
    </row>
    <row r="17" spans="1:10" s="3" customFormat="1" x14ac:dyDescent="0.2">
      <c r="B17" s="3" t="s">
        <v>28</v>
      </c>
      <c r="C17" s="3" t="s">
        <v>29</v>
      </c>
      <c r="E17" s="3" t="s">
        <v>6</v>
      </c>
      <c r="F17" s="3" t="s">
        <v>154</v>
      </c>
      <c r="G17" s="3">
        <v>2</v>
      </c>
      <c r="H17" s="3">
        <v>1267</v>
      </c>
      <c r="I17" s="3" t="s">
        <v>45</v>
      </c>
    </row>
    <row r="18" spans="1:10" s="3" customFormat="1" x14ac:dyDescent="0.2">
      <c r="B18" s="3" t="s">
        <v>28</v>
      </c>
      <c r="C18" s="3" t="s">
        <v>30</v>
      </c>
      <c r="E18" s="3" t="s">
        <v>6</v>
      </c>
      <c r="F18" s="3" t="s">
        <v>154</v>
      </c>
      <c r="G18" s="3">
        <v>2</v>
      </c>
      <c r="H18" s="3">
        <v>1267</v>
      </c>
      <c r="I18" s="3" t="s">
        <v>45</v>
      </c>
    </row>
    <row r="19" spans="1:10" s="3" customFormat="1" x14ac:dyDescent="0.2">
      <c r="B19" s="3" t="s">
        <v>47</v>
      </c>
      <c r="C19" s="3" t="s">
        <v>176</v>
      </c>
      <c r="E19" s="3" t="s">
        <v>6</v>
      </c>
      <c r="F19" s="3" t="s">
        <v>155</v>
      </c>
      <c r="G19" s="3">
        <v>31</v>
      </c>
      <c r="H19" s="3">
        <v>1275</v>
      </c>
      <c r="I19" s="3" t="s">
        <v>48</v>
      </c>
    </row>
    <row r="20" spans="1:10" s="3" customFormat="1" x14ac:dyDescent="0.2">
      <c r="B20" s="3" t="s">
        <v>47</v>
      </c>
      <c r="C20" s="3" t="s">
        <v>175</v>
      </c>
      <c r="E20" s="3" t="s">
        <v>13</v>
      </c>
      <c r="F20" s="3" t="s">
        <v>155</v>
      </c>
      <c r="G20" s="3">
        <v>31</v>
      </c>
      <c r="H20" s="3">
        <v>1275</v>
      </c>
      <c r="I20" s="3" t="s">
        <v>48</v>
      </c>
    </row>
    <row r="21" spans="1:10" s="11" customFormat="1" x14ac:dyDescent="0.2">
      <c r="B21" s="11" t="s">
        <v>336</v>
      </c>
      <c r="C21" s="11" t="s">
        <v>337</v>
      </c>
      <c r="D21" s="11" t="s">
        <v>340</v>
      </c>
      <c r="E21" s="11" t="s">
        <v>6</v>
      </c>
      <c r="F21" s="11" t="s">
        <v>339</v>
      </c>
      <c r="G21" s="11">
        <v>5</v>
      </c>
      <c r="H21" s="11">
        <v>1272</v>
      </c>
      <c r="I21" s="11" t="s">
        <v>338</v>
      </c>
      <c r="J21" s="11" t="s">
        <v>232</v>
      </c>
    </row>
    <row r="22" spans="1:10" s="11" customFormat="1" x14ac:dyDescent="0.2">
      <c r="B22" s="11" t="s">
        <v>18</v>
      </c>
      <c r="C22" s="11" t="s">
        <v>394</v>
      </c>
      <c r="E22" s="11" t="s">
        <v>6</v>
      </c>
      <c r="F22" s="11" t="s">
        <v>395</v>
      </c>
      <c r="G22" s="11">
        <v>11</v>
      </c>
      <c r="H22" s="11">
        <v>1262</v>
      </c>
      <c r="I22" s="11" t="s">
        <v>396</v>
      </c>
      <c r="J22" s="11" t="s">
        <v>232</v>
      </c>
    </row>
    <row r="26" spans="1:10" x14ac:dyDescent="0.2">
      <c r="A26">
        <v>19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16" zoomScale="150" workbookViewId="0">
      <selection activeCell="A24" sqref="A24"/>
    </sheetView>
  </sheetViews>
  <sheetFormatPr baseColWidth="10" defaultRowHeight="16" x14ac:dyDescent="0.2"/>
  <cols>
    <col min="3" max="3" width="23.6640625" customWidth="1"/>
    <col min="4" max="6" width="19.1640625" customWidth="1"/>
    <col min="7" max="7" width="7.83203125" customWidth="1"/>
    <col min="8" max="8" width="11.33203125" customWidth="1"/>
    <col min="9" max="9" width="17.5" customWidth="1"/>
    <col min="11" max="11" width="16" customWidth="1"/>
  </cols>
  <sheetData>
    <row r="1" spans="1:11" s="1" customFormat="1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60</v>
      </c>
      <c r="G1" s="1" t="s">
        <v>99</v>
      </c>
      <c r="H1" s="1" t="s">
        <v>87</v>
      </c>
      <c r="I1" s="1" t="s">
        <v>3</v>
      </c>
    </row>
    <row r="2" spans="1:11" s="10" customFormat="1" x14ac:dyDescent="0.2">
      <c r="B2" s="10" t="s">
        <v>28</v>
      </c>
      <c r="C2" s="10" t="s">
        <v>70</v>
      </c>
      <c r="E2" s="10" t="s">
        <v>6</v>
      </c>
      <c r="F2" s="10" t="s">
        <v>156</v>
      </c>
      <c r="G2" s="10">
        <v>2</v>
      </c>
      <c r="H2" s="10">
        <v>1005</v>
      </c>
      <c r="I2" s="10" t="s">
        <v>32</v>
      </c>
      <c r="J2" s="10" t="s">
        <v>280</v>
      </c>
    </row>
    <row r="3" spans="1:11" s="13" customFormat="1" x14ac:dyDescent="0.2">
      <c r="B3" s="13" t="s">
        <v>39</v>
      </c>
      <c r="C3" s="13" t="s">
        <v>258</v>
      </c>
      <c r="E3" s="13" t="s">
        <v>6</v>
      </c>
      <c r="F3" s="13" t="s">
        <v>259</v>
      </c>
      <c r="G3" s="13">
        <v>14</v>
      </c>
      <c r="H3" s="13">
        <v>1003</v>
      </c>
      <c r="I3" s="13" t="s">
        <v>32</v>
      </c>
    </row>
    <row r="4" spans="1:11" s="13" customFormat="1" x14ac:dyDescent="0.2">
      <c r="B4" s="13" t="s">
        <v>28</v>
      </c>
      <c r="C4" s="13" t="s">
        <v>168</v>
      </c>
      <c r="E4" s="13" t="s">
        <v>6</v>
      </c>
      <c r="F4" s="13" t="s">
        <v>228</v>
      </c>
      <c r="G4" s="13">
        <v>19</v>
      </c>
      <c r="H4" s="13">
        <v>1023</v>
      </c>
      <c r="I4" s="13" t="s">
        <v>221</v>
      </c>
      <c r="J4" s="12"/>
    </row>
    <row r="5" spans="1:11" s="11" customFormat="1" x14ac:dyDescent="0.2">
      <c r="B5" s="11" t="s">
        <v>28</v>
      </c>
      <c r="C5" s="11" t="s">
        <v>281</v>
      </c>
      <c r="E5" s="11" t="s">
        <v>6</v>
      </c>
      <c r="F5" s="11" t="s">
        <v>282</v>
      </c>
      <c r="G5" s="11">
        <v>17</v>
      </c>
      <c r="H5" s="11">
        <v>1023</v>
      </c>
      <c r="I5" s="11" t="s">
        <v>221</v>
      </c>
      <c r="J5" s="11" t="s">
        <v>232</v>
      </c>
    </row>
    <row r="6" spans="1:11" s="13" customFormat="1" x14ac:dyDescent="0.2">
      <c r="B6" s="13" t="s">
        <v>28</v>
      </c>
      <c r="C6" s="13" t="s">
        <v>275</v>
      </c>
      <c r="E6" s="13" t="s">
        <v>6</v>
      </c>
      <c r="F6" s="13" t="s">
        <v>276</v>
      </c>
      <c r="G6" s="13">
        <v>2</v>
      </c>
      <c r="H6" s="13">
        <v>1023</v>
      </c>
      <c r="I6" s="13" t="s">
        <v>221</v>
      </c>
    </row>
    <row r="7" spans="1:11" s="15" customFormat="1" x14ac:dyDescent="0.2">
      <c r="B7" s="15" t="s">
        <v>28</v>
      </c>
      <c r="C7" s="15" t="s">
        <v>277</v>
      </c>
      <c r="E7" s="15" t="s">
        <v>6</v>
      </c>
      <c r="F7" s="15" t="s">
        <v>276</v>
      </c>
      <c r="G7" s="15">
        <v>2</v>
      </c>
      <c r="H7" s="15">
        <v>1023</v>
      </c>
      <c r="I7" s="15" t="s">
        <v>221</v>
      </c>
      <c r="J7" s="15" t="s">
        <v>280</v>
      </c>
    </row>
    <row r="8" spans="1:11" s="13" customFormat="1" x14ac:dyDescent="0.2">
      <c r="B8" s="13" t="s">
        <v>28</v>
      </c>
      <c r="C8" s="13" t="s">
        <v>261</v>
      </c>
      <c r="E8" s="13" t="s">
        <v>6</v>
      </c>
      <c r="F8" s="13" t="s">
        <v>263</v>
      </c>
      <c r="G8" s="13">
        <v>101</v>
      </c>
      <c r="H8" s="13">
        <v>1020</v>
      </c>
      <c r="I8" s="13" t="s">
        <v>262</v>
      </c>
    </row>
    <row r="9" spans="1:11" s="11" customFormat="1" x14ac:dyDescent="0.2">
      <c r="B9" s="11" t="s">
        <v>28</v>
      </c>
      <c r="C9" s="11" t="s">
        <v>291</v>
      </c>
      <c r="E9" s="11" t="s">
        <v>6</v>
      </c>
      <c r="F9" s="11" t="s">
        <v>292</v>
      </c>
      <c r="H9" s="11">
        <v>1122</v>
      </c>
      <c r="I9" s="11" t="s">
        <v>293</v>
      </c>
      <c r="J9" s="11" t="s">
        <v>232</v>
      </c>
    </row>
    <row r="10" spans="1:11" s="11" customFormat="1" x14ac:dyDescent="0.2">
      <c r="B10" s="11" t="s">
        <v>412</v>
      </c>
      <c r="C10" s="11" t="s">
        <v>70</v>
      </c>
      <c r="E10" s="11" t="s">
        <v>50</v>
      </c>
      <c r="F10" s="11" t="s">
        <v>413</v>
      </c>
      <c r="G10" s="11">
        <v>44</v>
      </c>
      <c r="H10" s="11">
        <v>1022</v>
      </c>
      <c r="I10" s="11" t="s">
        <v>414</v>
      </c>
      <c r="J10" s="11" t="s">
        <v>232</v>
      </c>
    </row>
    <row r="11" spans="1:11" s="3" customFormat="1" x14ac:dyDescent="0.2">
      <c r="B11" s="3" t="s">
        <v>5</v>
      </c>
      <c r="C11" s="3" t="s">
        <v>44</v>
      </c>
      <c r="E11" s="3" t="s">
        <v>6</v>
      </c>
      <c r="F11" s="3" t="s">
        <v>157</v>
      </c>
      <c r="G11" s="3">
        <v>31</v>
      </c>
      <c r="H11" s="3">
        <v>1025</v>
      </c>
      <c r="I11" s="3" t="s">
        <v>158</v>
      </c>
      <c r="K11" s="2"/>
    </row>
    <row r="12" spans="1:11" s="3" customFormat="1" x14ac:dyDescent="0.2">
      <c r="B12" s="3" t="s">
        <v>5</v>
      </c>
      <c r="C12" s="3" t="s">
        <v>71</v>
      </c>
      <c r="E12" s="3" t="s">
        <v>6</v>
      </c>
      <c r="F12" s="3" t="s">
        <v>159</v>
      </c>
      <c r="G12" s="3">
        <v>4</v>
      </c>
      <c r="H12" s="3">
        <v>1007</v>
      </c>
      <c r="I12" s="3" t="s">
        <v>32</v>
      </c>
    </row>
    <row r="13" spans="1:11" s="3" customFormat="1" x14ac:dyDescent="0.2">
      <c r="A13" s="3" t="s">
        <v>203</v>
      </c>
      <c r="B13" s="3" t="s">
        <v>5</v>
      </c>
      <c r="C13" s="3" t="s">
        <v>202</v>
      </c>
      <c r="E13" s="3" t="s">
        <v>50</v>
      </c>
      <c r="F13" s="3" t="s">
        <v>204</v>
      </c>
      <c r="G13" s="3">
        <v>2</v>
      </c>
      <c r="H13" s="3">
        <v>1001</v>
      </c>
      <c r="I13" s="3" t="s">
        <v>32</v>
      </c>
      <c r="K13" s="4"/>
    </row>
    <row r="14" spans="1:11" s="11" customFormat="1" x14ac:dyDescent="0.2">
      <c r="B14" s="11" t="s">
        <v>15</v>
      </c>
      <c r="C14" s="11" t="s">
        <v>294</v>
      </c>
      <c r="E14" s="11" t="s">
        <v>6</v>
      </c>
      <c r="F14" s="11" t="s">
        <v>295</v>
      </c>
      <c r="G14" s="11">
        <v>148</v>
      </c>
      <c r="H14" s="11">
        <v>1010</v>
      </c>
      <c r="I14" s="11" t="s">
        <v>32</v>
      </c>
      <c r="J14" s="11" t="s">
        <v>232</v>
      </c>
      <c r="K14" s="14"/>
    </row>
    <row r="15" spans="1:11" s="3" customFormat="1" x14ac:dyDescent="0.2">
      <c r="B15" s="3" t="s">
        <v>18</v>
      </c>
      <c r="C15" s="3" t="s">
        <v>46</v>
      </c>
      <c r="E15" s="3" t="s">
        <v>6</v>
      </c>
      <c r="F15" s="3" t="s">
        <v>160</v>
      </c>
      <c r="G15" s="3">
        <v>117</v>
      </c>
      <c r="H15" s="3">
        <v>1018</v>
      </c>
      <c r="I15" s="3" t="s">
        <v>32</v>
      </c>
    </row>
    <row r="16" spans="1:11" s="15" customFormat="1" x14ac:dyDescent="0.2">
      <c r="B16" s="15" t="s">
        <v>283</v>
      </c>
      <c r="C16" s="15" t="s">
        <v>284</v>
      </c>
      <c r="E16" s="15" t="s">
        <v>6</v>
      </c>
      <c r="F16" s="15" t="s">
        <v>285</v>
      </c>
      <c r="G16" s="15">
        <v>14</v>
      </c>
      <c r="H16" s="15">
        <v>1003</v>
      </c>
      <c r="I16" s="15" t="s">
        <v>32</v>
      </c>
      <c r="J16" s="15" t="s">
        <v>280</v>
      </c>
    </row>
    <row r="17" spans="1:10" s="11" customFormat="1" x14ac:dyDescent="0.2">
      <c r="B17" s="11" t="s">
        <v>5</v>
      </c>
      <c r="C17" s="11" t="s">
        <v>360</v>
      </c>
      <c r="E17" s="11" t="s">
        <v>6</v>
      </c>
      <c r="F17" s="11" t="s">
        <v>359</v>
      </c>
      <c r="G17" s="11">
        <v>20</v>
      </c>
      <c r="H17" s="11">
        <v>1004</v>
      </c>
      <c r="I17" s="11" t="s">
        <v>32</v>
      </c>
      <c r="J17" s="11" t="s">
        <v>232</v>
      </c>
    </row>
    <row r="18" spans="1:10" s="11" customFormat="1" x14ac:dyDescent="0.2">
      <c r="B18" s="11" t="s">
        <v>61</v>
      </c>
      <c r="C18" s="11" t="s">
        <v>361</v>
      </c>
      <c r="E18" s="11" t="s">
        <v>6</v>
      </c>
      <c r="F18" s="11" t="s">
        <v>362</v>
      </c>
      <c r="G18" s="11">
        <v>12</v>
      </c>
      <c r="H18" s="11">
        <v>1003</v>
      </c>
      <c r="I18" s="11" t="s">
        <v>32</v>
      </c>
      <c r="J18" s="11" t="s">
        <v>232</v>
      </c>
    </row>
    <row r="19" spans="1:10" x14ac:dyDescent="0.2">
      <c r="B19" s="11" t="s">
        <v>28</v>
      </c>
      <c r="C19" s="11" t="s">
        <v>70</v>
      </c>
      <c r="E19" s="11" t="s">
        <v>50</v>
      </c>
      <c r="J19" s="11" t="s">
        <v>232</v>
      </c>
    </row>
    <row r="20" spans="1:10" x14ac:dyDescent="0.2">
      <c r="B20" s="11" t="s">
        <v>5</v>
      </c>
      <c r="C20" s="11" t="s">
        <v>434</v>
      </c>
      <c r="E20" s="11" t="s">
        <v>6</v>
      </c>
      <c r="I20" t="s">
        <v>221</v>
      </c>
      <c r="J20" s="11" t="s">
        <v>232</v>
      </c>
    </row>
    <row r="21" spans="1:10" x14ac:dyDescent="0.2">
      <c r="B21" s="11" t="s">
        <v>5</v>
      </c>
      <c r="C21" s="11" t="s">
        <v>435</v>
      </c>
      <c r="E21" s="11" t="s">
        <v>6</v>
      </c>
      <c r="I21" t="s">
        <v>436</v>
      </c>
      <c r="J21" s="11" t="s">
        <v>232</v>
      </c>
    </row>
    <row r="24" spans="1:10" x14ac:dyDescent="0.2">
      <c r="A24">
        <v>17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1"/>
  <sheetViews>
    <sheetView topLeftCell="A2" zoomScale="150" workbookViewId="0">
      <selection activeCell="A18" sqref="A18"/>
    </sheetView>
  </sheetViews>
  <sheetFormatPr baseColWidth="10" defaultRowHeight="16" x14ac:dyDescent="0.2"/>
  <cols>
    <col min="3" max="3" width="23.33203125" customWidth="1"/>
    <col min="4" max="4" width="20.1640625" customWidth="1"/>
    <col min="5" max="5" width="20.83203125" customWidth="1"/>
    <col min="6" max="6" width="21.5" customWidth="1"/>
    <col min="7" max="7" width="9" customWidth="1"/>
    <col min="8" max="8" width="11.5" customWidth="1"/>
    <col min="9" max="9" width="19.6640625" customWidth="1"/>
  </cols>
  <sheetData>
    <row r="1" spans="1:27" x14ac:dyDescent="0.2">
      <c r="A1" s="2" t="s">
        <v>8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60</v>
      </c>
      <c r="G1" s="2" t="s">
        <v>99</v>
      </c>
      <c r="H1" s="2" t="s">
        <v>87</v>
      </c>
      <c r="I1" s="2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3" customFormat="1" x14ac:dyDescent="0.2">
      <c r="B2" s="3" t="s">
        <v>5</v>
      </c>
      <c r="C2" s="3" t="s">
        <v>33</v>
      </c>
      <c r="E2" s="3" t="s">
        <v>6</v>
      </c>
      <c r="F2" s="3" t="s">
        <v>111</v>
      </c>
      <c r="G2" s="3">
        <v>20</v>
      </c>
      <c r="H2" s="3">
        <v>1806</v>
      </c>
      <c r="I2" s="3" t="s">
        <v>38</v>
      </c>
      <c r="J2" s="4">
        <v>44287</v>
      </c>
    </row>
    <row r="3" spans="1:27" s="3" customFormat="1" x14ac:dyDescent="0.2">
      <c r="B3" s="3" t="s">
        <v>5</v>
      </c>
      <c r="C3" s="3" t="s">
        <v>34</v>
      </c>
      <c r="E3" s="3" t="s">
        <v>6</v>
      </c>
      <c r="F3" s="3" t="s">
        <v>112</v>
      </c>
      <c r="G3" s="3">
        <v>36</v>
      </c>
      <c r="H3" s="3">
        <v>1095</v>
      </c>
      <c r="I3" s="3" t="s">
        <v>35</v>
      </c>
    </row>
    <row r="4" spans="1:27" s="10" customFormat="1" x14ac:dyDescent="0.2">
      <c r="B4" s="10" t="s">
        <v>5</v>
      </c>
      <c r="C4" s="10" t="s">
        <v>72</v>
      </c>
      <c r="E4" s="10" t="s">
        <v>6</v>
      </c>
      <c r="F4" s="10" t="s">
        <v>112</v>
      </c>
      <c r="G4" s="10">
        <v>81</v>
      </c>
      <c r="H4" s="10">
        <v>1820</v>
      </c>
      <c r="I4" s="10" t="s">
        <v>37</v>
      </c>
      <c r="J4" s="10" t="s">
        <v>363</v>
      </c>
    </row>
    <row r="5" spans="1:27" s="3" customFormat="1" x14ac:dyDescent="0.2">
      <c r="B5" s="3" t="s">
        <v>5</v>
      </c>
      <c r="C5" s="3" t="s">
        <v>219</v>
      </c>
      <c r="E5" s="3" t="s">
        <v>6</v>
      </c>
      <c r="F5" s="3" t="s">
        <v>229</v>
      </c>
      <c r="G5" s="3">
        <v>1</v>
      </c>
      <c r="H5" s="3">
        <v>1816</v>
      </c>
      <c r="I5" s="3" t="s">
        <v>220</v>
      </c>
    </row>
    <row r="6" spans="1:27" s="11" customFormat="1" x14ac:dyDescent="0.2">
      <c r="B6" s="11" t="s">
        <v>5</v>
      </c>
      <c r="C6" s="11" t="s">
        <v>307</v>
      </c>
      <c r="E6" s="11" t="s">
        <v>6</v>
      </c>
      <c r="F6" s="11" t="s">
        <v>308</v>
      </c>
      <c r="G6" s="11">
        <v>2</v>
      </c>
      <c r="H6" s="11">
        <v>1820</v>
      </c>
      <c r="I6" s="11" t="s">
        <v>37</v>
      </c>
    </row>
    <row r="7" spans="1:27" s="11" customFormat="1" x14ac:dyDescent="0.2">
      <c r="B7" s="11" t="s">
        <v>15</v>
      </c>
      <c r="C7" s="11" t="s">
        <v>345</v>
      </c>
      <c r="E7" s="11" t="s">
        <v>6</v>
      </c>
      <c r="F7" s="11" t="s">
        <v>351</v>
      </c>
      <c r="G7" s="11">
        <v>1</v>
      </c>
      <c r="H7" s="11">
        <v>1820</v>
      </c>
      <c r="I7" s="11" t="s">
        <v>37</v>
      </c>
    </row>
    <row r="8" spans="1:27" s="11" customFormat="1" x14ac:dyDescent="0.2">
      <c r="B8" s="11" t="s">
        <v>15</v>
      </c>
      <c r="C8" s="11" t="s">
        <v>348</v>
      </c>
      <c r="E8" s="11" t="s">
        <v>349</v>
      </c>
      <c r="F8" s="11" t="s">
        <v>112</v>
      </c>
      <c r="G8" s="11">
        <v>34</v>
      </c>
      <c r="H8" s="11">
        <v>1820</v>
      </c>
      <c r="I8" s="11" t="s">
        <v>37</v>
      </c>
    </row>
    <row r="9" spans="1:27" s="11" customFormat="1" x14ac:dyDescent="0.2">
      <c r="B9" s="11" t="s">
        <v>15</v>
      </c>
      <c r="C9" s="11" t="s">
        <v>346</v>
      </c>
      <c r="E9" s="11" t="s">
        <v>6</v>
      </c>
      <c r="F9" s="11" t="s">
        <v>350</v>
      </c>
      <c r="G9" s="11">
        <v>4</v>
      </c>
      <c r="H9" s="11">
        <v>1820</v>
      </c>
      <c r="I9" s="11" t="s">
        <v>347</v>
      </c>
    </row>
    <row r="10" spans="1:27" s="3" customFormat="1" x14ac:dyDescent="0.2">
      <c r="B10" s="3" t="s">
        <v>63</v>
      </c>
      <c r="C10" s="3" t="s">
        <v>36</v>
      </c>
      <c r="E10" s="3" t="s">
        <v>6</v>
      </c>
      <c r="F10" s="3" t="s">
        <v>113</v>
      </c>
      <c r="G10" s="3">
        <v>15</v>
      </c>
      <c r="H10" s="3">
        <v>1820</v>
      </c>
      <c r="I10" s="3" t="s">
        <v>37</v>
      </c>
    </row>
    <row r="11" spans="1:27" s="11" customFormat="1" x14ac:dyDescent="0.2">
      <c r="B11" s="11" t="s">
        <v>63</v>
      </c>
      <c r="C11" s="11" t="s">
        <v>352</v>
      </c>
      <c r="D11" s="11" t="s">
        <v>354</v>
      </c>
      <c r="E11" s="11" t="s">
        <v>6</v>
      </c>
      <c r="F11" s="11" t="s">
        <v>353</v>
      </c>
      <c r="G11" s="11">
        <v>28</v>
      </c>
      <c r="H11" s="11">
        <v>1820</v>
      </c>
      <c r="I11" s="11" t="s">
        <v>37</v>
      </c>
    </row>
    <row r="12" spans="1:27" s="11" customFormat="1" x14ac:dyDescent="0.2">
      <c r="B12" s="11" t="s">
        <v>47</v>
      </c>
      <c r="C12" s="11" t="s">
        <v>393</v>
      </c>
      <c r="E12" s="11" t="s">
        <v>6</v>
      </c>
      <c r="F12" s="11" t="s">
        <v>286</v>
      </c>
      <c r="G12" s="11">
        <v>14</v>
      </c>
      <c r="H12" s="11">
        <v>1070</v>
      </c>
      <c r="I12" s="11" t="s">
        <v>287</v>
      </c>
      <c r="J12" s="11" t="s">
        <v>232</v>
      </c>
    </row>
    <row r="13" spans="1:27" s="3" customFormat="1" x14ac:dyDescent="0.2">
      <c r="B13" s="3" t="s">
        <v>28</v>
      </c>
      <c r="C13" s="3" t="s">
        <v>31</v>
      </c>
      <c r="E13" s="3" t="s">
        <v>6</v>
      </c>
      <c r="F13" s="3" t="s">
        <v>114</v>
      </c>
      <c r="G13" s="9" t="s">
        <v>115</v>
      </c>
      <c r="H13" s="3">
        <v>1806</v>
      </c>
      <c r="I13" s="3" t="s">
        <v>38</v>
      </c>
    </row>
    <row r="14" spans="1:27" s="11" customFormat="1" x14ac:dyDescent="0.2">
      <c r="B14" s="11" t="s">
        <v>5</v>
      </c>
      <c r="C14" s="11" t="s">
        <v>327</v>
      </c>
      <c r="E14" s="11" t="s">
        <v>6</v>
      </c>
      <c r="H14" s="11">
        <v>1820</v>
      </c>
      <c r="I14" s="11" t="s">
        <v>328</v>
      </c>
    </row>
    <row r="18" spans="1:4" x14ac:dyDescent="0.2">
      <c r="A18">
        <v>12</v>
      </c>
    </row>
    <row r="21" spans="1:4" x14ac:dyDescent="0.2">
      <c r="D21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A10" zoomScale="125" workbookViewId="0">
      <selection activeCell="A31" sqref="A31"/>
    </sheetView>
  </sheetViews>
  <sheetFormatPr baseColWidth="10" defaultRowHeight="16" x14ac:dyDescent="0.2"/>
  <cols>
    <col min="3" max="3" width="28.5" customWidth="1"/>
    <col min="4" max="4" width="23.1640625" customWidth="1"/>
    <col min="5" max="6" width="24.5" customWidth="1"/>
    <col min="7" max="7" width="9.83203125" customWidth="1"/>
    <col min="8" max="8" width="11.83203125" customWidth="1"/>
    <col min="9" max="9" width="23.6640625" customWidth="1"/>
    <col min="10" max="10" width="13.33203125" customWidth="1"/>
  </cols>
  <sheetData>
    <row r="1" spans="1:10" x14ac:dyDescent="0.2">
      <c r="A1" s="2" t="s">
        <v>8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60</v>
      </c>
      <c r="G1" s="2" t="s">
        <v>99</v>
      </c>
      <c r="H1" s="2" t="s">
        <v>87</v>
      </c>
      <c r="I1" s="2" t="s">
        <v>3</v>
      </c>
      <c r="J1" s="1" t="s">
        <v>95</v>
      </c>
    </row>
    <row r="2" spans="1:10" s="3" customFormat="1" x14ac:dyDescent="0.2">
      <c r="A2" s="4">
        <v>44294</v>
      </c>
      <c r="B2" s="3" t="s">
        <v>161</v>
      </c>
      <c r="C2" s="3" t="s">
        <v>184</v>
      </c>
      <c r="E2" s="3" t="s">
        <v>6</v>
      </c>
      <c r="F2" s="3" t="s">
        <v>185</v>
      </c>
      <c r="G2" s="3">
        <v>10</v>
      </c>
      <c r="H2" s="3">
        <v>1950</v>
      </c>
      <c r="I2" s="3" t="s">
        <v>163</v>
      </c>
    </row>
    <row r="3" spans="1:10" s="3" customFormat="1" x14ac:dyDescent="0.2">
      <c r="A3" s="4">
        <v>44280</v>
      </c>
      <c r="B3" s="3" t="s">
        <v>161</v>
      </c>
      <c r="C3" s="3" t="s">
        <v>182</v>
      </c>
      <c r="E3" s="3" t="s">
        <v>6</v>
      </c>
      <c r="F3" s="3" t="s">
        <v>183</v>
      </c>
      <c r="G3" s="3">
        <v>12</v>
      </c>
      <c r="H3" s="3">
        <v>1950</v>
      </c>
      <c r="I3" s="3" t="s">
        <v>163</v>
      </c>
    </row>
    <row r="4" spans="1:10" s="3" customFormat="1" x14ac:dyDescent="0.2">
      <c r="B4" s="3" t="s">
        <v>161</v>
      </c>
      <c r="C4" s="3" t="s">
        <v>162</v>
      </c>
      <c r="E4" s="3" t="s">
        <v>50</v>
      </c>
      <c r="F4" s="3" t="s">
        <v>164</v>
      </c>
      <c r="G4" s="3">
        <v>83</v>
      </c>
      <c r="H4" s="3">
        <v>1950</v>
      </c>
      <c r="I4" s="3" t="s">
        <v>163</v>
      </c>
    </row>
    <row r="5" spans="1:10" s="3" customFormat="1" x14ac:dyDescent="0.2">
      <c r="B5" s="3" t="s">
        <v>161</v>
      </c>
      <c r="C5" s="3" t="s">
        <v>168</v>
      </c>
      <c r="E5" s="3" t="s">
        <v>6</v>
      </c>
      <c r="F5" s="3" t="s">
        <v>164</v>
      </c>
      <c r="G5" s="3">
        <v>83</v>
      </c>
      <c r="H5" s="3">
        <v>1950</v>
      </c>
      <c r="I5" s="3" t="s">
        <v>163</v>
      </c>
    </row>
    <row r="6" spans="1:10" s="6" customFormat="1" x14ac:dyDescent="0.2">
      <c r="B6" s="6" t="s">
        <v>161</v>
      </c>
      <c r="C6" s="6" t="s">
        <v>244</v>
      </c>
      <c r="D6" s="6" t="s">
        <v>245</v>
      </c>
      <c r="E6" s="6" t="s">
        <v>6</v>
      </c>
      <c r="F6" s="6" t="s">
        <v>246</v>
      </c>
      <c r="G6" s="6">
        <v>52</v>
      </c>
      <c r="H6" s="6">
        <v>3960</v>
      </c>
      <c r="I6" s="6" t="s">
        <v>247</v>
      </c>
    </row>
    <row r="7" spans="1:10" s="3" customFormat="1" x14ac:dyDescent="0.2">
      <c r="B7" s="3" t="s">
        <v>178</v>
      </c>
      <c r="C7" s="3" t="s">
        <v>179</v>
      </c>
      <c r="E7" s="3" t="s">
        <v>6</v>
      </c>
      <c r="F7" s="3" t="s">
        <v>180</v>
      </c>
      <c r="G7" s="5" t="s">
        <v>181</v>
      </c>
      <c r="H7" s="3">
        <v>1950</v>
      </c>
      <c r="I7" s="3" t="s">
        <v>163</v>
      </c>
    </row>
    <row r="8" spans="1:10" s="3" customFormat="1" x14ac:dyDescent="0.2">
      <c r="B8" s="3" t="s">
        <v>5</v>
      </c>
      <c r="C8" s="3" t="s">
        <v>73</v>
      </c>
      <c r="E8" s="3" t="s">
        <v>6</v>
      </c>
      <c r="F8" s="3" t="s">
        <v>100</v>
      </c>
      <c r="G8" s="3">
        <v>152</v>
      </c>
      <c r="H8" s="3">
        <v>1884</v>
      </c>
      <c r="I8" s="3" t="s">
        <v>74</v>
      </c>
      <c r="J8" s="3" t="s">
        <v>101</v>
      </c>
    </row>
    <row r="9" spans="1:10" s="3" customFormat="1" x14ac:dyDescent="0.2">
      <c r="B9" s="3" t="s">
        <v>5</v>
      </c>
      <c r="C9" s="3" t="s">
        <v>102</v>
      </c>
      <c r="E9" s="3" t="s">
        <v>6</v>
      </c>
      <c r="F9" s="3" t="s">
        <v>103</v>
      </c>
      <c r="G9" s="3">
        <v>48</v>
      </c>
      <c r="H9" s="3">
        <v>1892</v>
      </c>
      <c r="I9" s="3" t="s">
        <v>75</v>
      </c>
    </row>
    <row r="10" spans="1:10" s="3" customFormat="1" x14ac:dyDescent="0.2">
      <c r="B10" s="3" t="s">
        <v>15</v>
      </c>
      <c r="C10" s="3" t="s">
        <v>76</v>
      </c>
      <c r="E10" s="3" t="s">
        <v>6</v>
      </c>
      <c r="F10" s="3" t="s">
        <v>104</v>
      </c>
      <c r="G10" s="3">
        <v>5</v>
      </c>
      <c r="H10" s="3">
        <v>1921</v>
      </c>
      <c r="I10" s="3" t="s">
        <v>77</v>
      </c>
    </row>
    <row r="11" spans="1:10" s="3" customFormat="1" x14ac:dyDescent="0.2">
      <c r="B11" s="3" t="s">
        <v>15</v>
      </c>
      <c r="C11" s="3" t="s">
        <v>78</v>
      </c>
      <c r="E11" s="3" t="s">
        <v>6</v>
      </c>
      <c r="F11" s="3" t="s">
        <v>105</v>
      </c>
      <c r="G11" s="3">
        <v>15</v>
      </c>
      <c r="H11" s="3">
        <v>1920</v>
      </c>
      <c r="I11" s="3" t="s">
        <v>77</v>
      </c>
    </row>
    <row r="12" spans="1:10" s="3" customFormat="1" x14ac:dyDescent="0.2">
      <c r="B12" s="3" t="s">
        <v>15</v>
      </c>
      <c r="C12" s="3" t="s">
        <v>79</v>
      </c>
      <c r="E12" s="3" t="s">
        <v>6</v>
      </c>
      <c r="F12" s="3" t="s">
        <v>106</v>
      </c>
      <c r="G12" s="3">
        <v>17</v>
      </c>
      <c r="H12" s="3">
        <v>1997</v>
      </c>
      <c r="I12" s="3" t="s">
        <v>107</v>
      </c>
    </row>
    <row r="13" spans="1:10" s="3" customFormat="1" x14ac:dyDescent="0.2">
      <c r="B13" s="3" t="s">
        <v>15</v>
      </c>
      <c r="C13" s="3" t="s">
        <v>80</v>
      </c>
      <c r="E13" s="3" t="s">
        <v>50</v>
      </c>
      <c r="F13" s="3" t="s">
        <v>109</v>
      </c>
      <c r="G13" s="3">
        <v>5</v>
      </c>
      <c r="H13" s="3">
        <v>3963</v>
      </c>
      <c r="I13" s="3" t="s">
        <v>108</v>
      </c>
    </row>
    <row r="14" spans="1:10" s="3" customFormat="1" x14ac:dyDescent="0.2">
      <c r="B14" s="3" t="s">
        <v>15</v>
      </c>
      <c r="C14" s="3" t="s">
        <v>81</v>
      </c>
      <c r="E14" s="3" t="s">
        <v>6</v>
      </c>
      <c r="F14" s="3" t="s">
        <v>110</v>
      </c>
      <c r="G14" s="3">
        <v>12</v>
      </c>
      <c r="H14" s="3">
        <v>3963</v>
      </c>
      <c r="I14" s="3" t="s">
        <v>108</v>
      </c>
    </row>
    <row r="15" spans="1:10" s="3" customFormat="1" x14ac:dyDescent="0.2">
      <c r="B15" s="3" t="s">
        <v>15</v>
      </c>
      <c r="C15" s="3" t="s">
        <v>171</v>
      </c>
      <c r="E15" s="3" t="s">
        <v>50</v>
      </c>
      <c r="F15" s="3" t="s">
        <v>170</v>
      </c>
      <c r="G15" s="3">
        <v>114</v>
      </c>
      <c r="H15" s="3">
        <v>1874</v>
      </c>
      <c r="I15" s="3" t="s">
        <v>169</v>
      </c>
    </row>
    <row r="16" spans="1:10" s="3" customFormat="1" x14ac:dyDescent="0.2">
      <c r="B16" s="3" t="s">
        <v>5</v>
      </c>
      <c r="C16" s="3" t="s">
        <v>172</v>
      </c>
      <c r="E16" s="3" t="s">
        <v>6</v>
      </c>
      <c r="F16" s="3" t="s">
        <v>173</v>
      </c>
      <c r="G16" s="3">
        <v>17</v>
      </c>
      <c r="H16" s="3">
        <v>3954</v>
      </c>
      <c r="I16" s="3" t="s">
        <v>174</v>
      </c>
    </row>
    <row r="17" spans="1:9" s="3" customFormat="1" x14ac:dyDescent="0.2">
      <c r="B17" s="3" t="s">
        <v>5</v>
      </c>
      <c r="C17" s="3" t="s">
        <v>207</v>
      </c>
      <c r="E17" s="3" t="s">
        <v>6</v>
      </c>
      <c r="F17" s="3" t="s">
        <v>208</v>
      </c>
      <c r="G17" s="3">
        <v>1</v>
      </c>
      <c r="H17" s="3">
        <v>3954</v>
      </c>
      <c r="I17" s="3" t="s">
        <v>174</v>
      </c>
    </row>
    <row r="18" spans="1:9" s="3" customFormat="1" x14ac:dyDescent="0.2">
      <c r="B18" s="8" t="s">
        <v>5</v>
      </c>
      <c r="C18" s="8" t="s">
        <v>216</v>
      </c>
      <c r="E18" s="8" t="s">
        <v>6</v>
      </c>
      <c r="F18" s="8" t="s">
        <v>208</v>
      </c>
      <c r="G18" s="3">
        <v>1</v>
      </c>
      <c r="H18" s="3">
        <v>3954</v>
      </c>
      <c r="I18" s="8" t="s">
        <v>174</v>
      </c>
    </row>
    <row r="19" spans="1:9" s="3" customFormat="1" x14ac:dyDescent="0.2">
      <c r="B19" s="8" t="s">
        <v>5</v>
      </c>
      <c r="C19" s="8" t="s">
        <v>217</v>
      </c>
      <c r="E19" s="8" t="s">
        <v>6</v>
      </c>
      <c r="F19" s="3" t="s">
        <v>230</v>
      </c>
      <c r="G19" s="3">
        <v>13</v>
      </c>
      <c r="H19" s="3">
        <v>3954</v>
      </c>
      <c r="I19" s="8" t="s">
        <v>174</v>
      </c>
    </row>
    <row r="20" spans="1:9" x14ac:dyDescent="0.2">
      <c r="B20" s="3" t="s">
        <v>18</v>
      </c>
      <c r="C20" s="3" t="s">
        <v>205</v>
      </c>
      <c r="E20" s="3" t="s">
        <v>6</v>
      </c>
      <c r="F20" s="3" t="s">
        <v>206</v>
      </c>
      <c r="G20" s="3">
        <v>2</v>
      </c>
      <c r="H20" s="3">
        <v>3963</v>
      </c>
      <c r="I20" s="3" t="s">
        <v>108</v>
      </c>
    </row>
    <row r="21" spans="1:9" s="13" customFormat="1" x14ac:dyDescent="0.2">
      <c r="B21" s="13" t="s">
        <v>5</v>
      </c>
      <c r="C21" s="13" t="s">
        <v>256</v>
      </c>
      <c r="E21" s="13" t="s">
        <v>6</v>
      </c>
      <c r="F21" s="13" t="e" cm="1">
        <f t="array" ref="F21">-Rte du Centre Thermal</f>
        <v>#NAME?</v>
      </c>
      <c r="G21" s="13">
        <v>16</v>
      </c>
      <c r="H21" s="13">
        <v>1913</v>
      </c>
      <c r="I21" s="13" t="s">
        <v>257</v>
      </c>
    </row>
    <row r="22" spans="1:9" s="13" customFormat="1" x14ac:dyDescent="0.2">
      <c r="B22" s="13" t="s">
        <v>5</v>
      </c>
      <c r="C22" s="13" t="s">
        <v>364</v>
      </c>
      <c r="E22" s="13" t="s">
        <v>6</v>
      </c>
      <c r="F22" s="13" t="s">
        <v>103</v>
      </c>
      <c r="G22" s="13">
        <v>93</v>
      </c>
      <c r="H22" s="13">
        <v>1911</v>
      </c>
      <c r="I22" s="13" t="s">
        <v>365</v>
      </c>
    </row>
    <row r="23" spans="1:9" s="13" customFormat="1" x14ac:dyDescent="0.2">
      <c r="B23" s="13" t="s">
        <v>5</v>
      </c>
      <c r="C23" s="13" t="s">
        <v>366</v>
      </c>
      <c r="E23" s="13" t="s">
        <v>6</v>
      </c>
      <c r="F23" s="13" t="s">
        <v>367</v>
      </c>
      <c r="G23" s="20" t="s">
        <v>368</v>
      </c>
      <c r="H23" s="13">
        <v>3963</v>
      </c>
      <c r="I23" s="13" t="s">
        <v>108</v>
      </c>
    </row>
    <row r="24" spans="1:9" s="13" customFormat="1" x14ac:dyDescent="0.2">
      <c r="B24" s="13" t="s">
        <v>161</v>
      </c>
      <c r="C24" s="13" t="s">
        <v>369</v>
      </c>
      <c r="D24" s="13" t="s">
        <v>370</v>
      </c>
      <c r="E24" s="13" t="s">
        <v>6</v>
      </c>
      <c r="F24" s="13" t="s">
        <v>371</v>
      </c>
      <c r="G24" s="13">
        <v>58</v>
      </c>
      <c r="H24" s="13">
        <v>3960</v>
      </c>
      <c r="I24" s="13" t="s">
        <v>372</v>
      </c>
    </row>
    <row r="25" spans="1:9" s="13" customFormat="1" x14ac:dyDescent="0.2">
      <c r="B25" s="13" t="s">
        <v>161</v>
      </c>
      <c r="C25" s="13" t="s">
        <v>244</v>
      </c>
      <c r="D25" s="13" t="s">
        <v>245</v>
      </c>
      <c r="E25" s="13" t="s">
        <v>6</v>
      </c>
      <c r="F25" s="13" t="s">
        <v>373</v>
      </c>
      <c r="G25" s="13">
        <v>3</v>
      </c>
      <c r="H25" s="13">
        <v>1950</v>
      </c>
      <c r="I25" s="13" t="s">
        <v>163</v>
      </c>
    </row>
    <row r="26" spans="1:9" s="13" customFormat="1" x14ac:dyDescent="0.2">
      <c r="B26" s="13" t="s">
        <v>15</v>
      </c>
      <c r="C26" s="13" t="s">
        <v>374</v>
      </c>
      <c r="E26" s="13" t="s">
        <v>6</v>
      </c>
      <c r="F26" s="13" t="s">
        <v>375</v>
      </c>
      <c r="G26" s="13">
        <v>88</v>
      </c>
      <c r="H26" s="13">
        <v>1997</v>
      </c>
      <c r="I26" s="13" t="s">
        <v>107</v>
      </c>
    </row>
    <row r="27" spans="1:9" s="13" customFormat="1" x14ac:dyDescent="0.2">
      <c r="B27" s="13" t="s">
        <v>409</v>
      </c>
      <c r="C27" s="13" t="s">
        <v>366</v>
      </c>
      <c r="E27" s="13" t="s">
        <v>50</v>
      </c>
      <c r="F27" s="13" t="s">
        <v>367</v>
      </c>
      <c r="G27" s="20" t="s">
        <v>368</v>
      </c>
      <c r="H27" s="13">
        <v>3953</v>
      </c>
      <c r="I27" s="13" t="s">
        <v>108</v>
      </c>
    </row>
    <row r="28" spans="1:9" s="13" customFormat="1" x14ac:dyDescent="0.2">
      <c r="B28" s="13" t="s">
        <v>15</v>
      </c>
      <c r="C28" s="13" t="s">
        <v>415</v>
      </c>
      <c r="E28" s="13" t="s">
        <v>310</v>
      </c>
      <c r="F28" s="13" t="s">
        <v>416</v>
      </c>
      <c r="G28" s="13">
        <v>18</v>
      </c>
      <c r="H28" s="13">
        <v>1950</v>
      </c>
      <c r="I28" s="13" t="s">
        <v>163</v>
      </c>
    </row>
    <row r="29" spans="1:9" s="13" customFormat="1" x14ac:dyDescent="0.2">
      <c r="B29" s="13" t="s">
        <v>15</v>
      </c>
      <c r="C29" s="13" t="s">
        <v>437</v>
      </c>
      <c r="E29" s="13" t="s">
        <v>6</v>
      </c>
      <c r="I29" s="13" t="s">
        <v>74</v>
      </c>
    </row>
    <row r="31" spans="1:9" x14ac:dyDescent="0.2">
      <c r="A31">
        <v>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activeCell="A10" sqref="A10"/>
    </sheetView>
  </sheetViews>
  <sheetFormatPr baseColWidth="10" defaultRowHeight="16" x14ac:dyDescent="0.2"/>
  <cols>
    <col min="2" max="2" width="12.1640625" customWidth="1"/>
    <col min="3" max="3" width="22.83203125" customWidth="1"/>
    <col min="4" max="4" width="20.33203125" customWidth="1"/>
    <col min="5" max="5" width="19.6640625" customWidth="1"/>
    <col min="6" max="6" width="26.1640625" customWidth="1"/>
    <col min="7" max="7" width="6.6640625" customWidth="1"/>
    <col min="8" max="8" width="10.83203125" customWidth="1"/>
    <col min="9" max="9" width="17" customWidth="1"/>
  </cols>
  <sheetData>
    <row r="1" spans="1:10" x14ac:dyDescent="0.2">
      <c r="A1" s="2" t="s">
        <v>8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60</v>
      </c>
      <c r="G1" s="2" t="s">
        <v>86</v>
      </c>
      <c r="H1" s="2" t="s">
        <v>87</v>
      </c>
      <c r="I1" s="2" t="s">
        <v>3</v>
      </c>
      <c r="J1" s="2" t="s">
        <v>95</v>
      </c>
    </row>
    <row r="2" spans="1:10" s="3" customFormat="1" x14ac:dyDescent="0.2">
      <c r="B2" s="3" t="s">
        <v>5</v>
      </c>
      <c r="C2" s="3" t="s">
        <v>82</v>
      </c>
      <c r="E2" s="3" t="s">
        <v>88</v>
      </c>
      <c r="F2" s="3" t="s">
        <v>89</v>
      </c>
      <c r="G2" s="3">
        <v>1</v>
      </c>
      <c r="H2" s="3">
        <v>1348</v>
      </c>
      <c r="I2" s="3" t="s">
        <v>90</v>
      </c>
    </row>
    <row r="3" spans="1:10" s="3" customFormat="1" x14ac:dyDescent="0.2">
      <c r="B3" s="3" t="s">
        <v>5</v>
      </c>
      <c r="C3" s="3" t="s">
        <v>83</v>
      </c>
      <c r="E3" s="3" t="s">
        <v>88</v>
      </c>
      <c r="F3" s="3" t="s">
        <v>92</v>
      </c>
      <c r="G3" s="3">
        <v>14</v>
      </c>
      <c r="H3" s="3">
        <v>1344</v>
      </c>
      <c r="I3" s="3" t="s">
        <v>91</v>
      </c>
    </row>
    <row r="4" spans="1:10" s="3" customFormat="1" x14ac:dyDescent="0.2">
      <c r="B4" s="3" t="s">
        <v>5</v>
      </c>
      <c r="C4" s="3" t="s">
        <v>84</v>
      </c>
      <c r="E4" s="3" t="s">
        <v>88</v>
      </c>
      <c r="F4" s="3" t="s">
        <v>93</v>
      </c>
      <c r="G4" s="3">
        <v>29</v>
      </c>
      <c r="H4" s="3">
        <v>1347</v>
      </c>
      <c r="I4" s="3" t="s">
        <v>90</v>
      </c>
      <c r="J4" s="3" t="s">
        <v>96</v>
      </c>
    </row>
    <row r="5" spans="1:10" s="3" customFormat="1" x14ac:dyDescent="0.2">
      <c r="B5" s="3" t="s">
        <v>5</v>
      </c>
      <c r="C5" s="3" t="s">
        <v>85</v>
      </c>
      <c r="E5" s="3" t="s">
        <v>94</v>
      </c>
      <c r="F5" s="3" t="s">
        <v>97</v>
      </c>
      <c r="G5" s="3">
        <v>23</v>
      </c>
      <c r="H5" s="3">
        <v>1347</v>
      </c>
      <c r="I5" s="3" t="s">
        <v>90</v>
      </c>
      <c r="J5" s="3" t="s">
        <v>98</v>
      </c>
    </row>
    <row r="6" spans="1:10" s="10" customFormat="1" x14ac:dyDescent="0.2">
      <c r="B6" s="10" t="s">
        <v>15</v>
      </c>
      <c r="C6" s="10" t="s">
        <v>209</v>
      </c>
      <c r="E6" s="10" t="s">
        <v>94</v>
      </c>
      <c r="F6" s="10" t="s">
        <v>210</v>
      </c>
      <c r="G6" s="10">
        <v>4</v>
      </c>
      <c r="H6" s="10">
        <v>1342</v>
      </c>
      <c r="I6" s="10" t="s">
        <v>91</v>
      </c>
      <c r="J6" s="10" t="s">
        <v>260</v>
      </c>
    </row>
    <row r="7" spans="1:10" x14ac:dyDescent="0.2">
      <c r="B7" s="3" t="s">
        <v>18</v>
      </c>
      <c r="C7" s="3" t="s">
        <v>209</v>
      </c>
      <c r="E7" s="3" t="s">
        <v>88</v>
      </c>
      <c r="F7" s="3" t="s">
        <v>210</v>
      </c>
      <c r="G7" s="3">
        <v>4</v>
      </c>
      <c r="H7" s="3">
        <v>1342</v>
      </c>
      <c r="I7" s="3" t="s">
        <v>91</v>
      </c>
    </row>
    <row r="10" spans="1:10" x14ac:dyDescent="0.2">
      <c r="A10">
        <v>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tabSelected="1" zoomScale="164" workbookViewId="0">
      <selection activeCell="H16" sqref="H16"/>
    </sheetView>
  </sheetViews>
  <sheetFormatPr baseColWidth="10" defaultRowHeight="16" x14ac:dyDescent="0.2"/>
  <cols>
    <col min="2" max="2" width="15.1640625" customWidth="1"/>
    <col min="3" max="3" width="24.5" customWidth="1"/>
    <col min="4" max="4" width="18" customWidth="1"/>
    <col min="5" max="5" width="18.83203125" customWidth="1"/>
    <col min="6" max="6" width="18" customWidth="1"/>
    <col min="7" max="7" width="5.6640625" customWidth="1"/>
    <col min="10" max="10" width="15.6640625" customWidth="1"/>
  </cols>
  <sheetData>
    <row r="1" spans="1:11" x14ac:dyDescent="0.2">
      <c r="A1" s="2" t="s">
        <v>8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60</v>
      </c>
      <c r="G1" s="2" t="s">
        <v>86</v>
      </c>
      <c r="H1" s="2" t="s">
        <v>87</v>
      </c>
      <c r="I1" s="2" t="s">
        <v>3</v>
      </c>
      <c r="J1" s="2" t="s">
        <v>95</v>
      </c>
    </row>
    <row r="2" spans="1:11" s="12" customFormat="1" x14ac:dyDescent="0.2">
      <c r="B2" s="12" t="s">
        <v>5</v>
      </c>
      <c r="C2" s="12" t="s">
        <v>309</v>
      </c>
      <c r="E2" s="12" t="s">
        <v>310</v>
      </c>
      <c r="F2" s="12" t="s">
        <v>311</v>
      </c>
      <c r="G2" s="12">
        <v>96</v>
      </c>
      <c r="H2" s="12">
        <v>3027</v>
      </c>
      <c r="I2" s="12" t="s">
        <v>312</v>
      </c>
    </row>
    <row r="3" spans="1:11" s="12" customFormat="1" x14ac:dyDescent="0.2">
      <c r="B3" s="12" t="s">
        <v>15</v>
      </c>
      <c r="C3" s="12" t="s">
        <v>332</v>
      </c>
      <c r="E3" s="12" t="s">
        <v>320</v>
      </c>
      <c r="F3" s="12" t="s">
        <v>334</v>
      </c>
      <c r="G3" s="12" t="s">
        <v>335</v>
      </c>
      <c r="H3" s="12">
        <v>3063</v>
      </c>
      <c r="I3" s="12" t="s">
        <v>333</v>
      </c>
    </row>
    <row r="4" spans="1:11" s="12" customFormat="1" x14ac:dyDescent="0.2">
      <c r="B4" s="12" t="s">
        <v>5</v>
      </c>
      <c r="C4" s="12" t="s">
        <v>313</v>
      </c>
      <c r="E4" s="12" t="s">
        <v>310</v>
      </c>
      <c r="F4" s="12" t="s">
        <v>314</v>
      </c>
      <c r="G4" s="12">
        <v>12</v>
      </c>
      <c r="H4" s="12">
        <v>4622</v>
      </c>
      <c r="I4" s="12" t="s">
        <v>315</v>
      </c>
    </row>
    <row r="5" spans="1:11" s="12" customFormat="1" x14ac:dyDescent="0.2">
      <c r="B5" s="12" t="s">
        <v>5</v>
      </c>
      <c r="C5" s="12" t="s">
        <v>316</v>
      </c>
      <c r="E5" s="12" t="s">
        <v>310</v>
      </c>
      <c r="F5" s="12" t="s">
        <v>317</v>
      </c>
      <c r="G5" s="12">
        <v>44</v>
      </c>
      <c r="H5" s="12">
        <v>4052</v>
      </c>
      <c r="I5" s="12" t="s">
        <v>318</v>
      </c>
    </row>
    <row r="6" spans="1:11" s="12" customFormat="1" x14ac:dyDescent="0.2">
      <c r="B6" s="12" t="s">
        <v>5</v>
      </c>
      <c r="C6" s="12" t="s">
        <v>118</v>
      </c>
      <c r="E6" s="12" t="s">
        <v>310</v>
      </c>
      <c r="F6" s="12" t="s">
        <v>317</v>
      </c>
      <c r="G6" s="12">
        <v>12</v>
      </c>
      <c r="H6" s="12">
        <v>4052</v>
      </c>
      <c r="I6" s="12" t="s">
        <v>318</v>
      </c>
    </row>
    <row r="7" spans="1:11" s="12" customFormat="1" x14ac:dyDescent="0.2">
      <c r="B7" s="12" t="s">
        <v>5</v>
      </c>
      <c r="C7" s="12" t="s">
        <v>319</v>
      </c>
      <c r="E7" s="12" t="s">
        <v>320</v>
      </c>
      <c r="F7" s="12" t="s">
        <v>321</v>
      </c>
      <c r="G7" s="17" t="s">
        <v>322</v>
      </c>
      <c r="H7" s="12">
        <v>4102</v>
      </c>
      <c r="I7" s="12" t="s">
        <v>323</v>
      </c>
    </row>
    <row r="8" spans="1:11" s="12" customFormat="1" x14ac:dyDescent="0.2">
      <c r="B8" s="12" t="s">
        <v>5</v>
      </c>
      <c r="C8" s="12" t="s">
        <v>324</v>
      </c>
      <c r="E8" s="12" t="s">
        <v>310</v>
      </c>
      <c r="F8" s="12" t="s">
        <v>326</v>
      </c>
      <c r="G8" s="12">
        <v>55</v>
      </c>
      <c r="H8" s="12">
        <v>4133</v>
      </c>
      <c r="I8" s="12" t="s">
        <v>325</v>
      </c>
    </row>
    <row r="9" spans="1:11" s="18" customFormat="1" x14ac:dyDescent="0.2">
      <c r="B9" s="12" t="s">
        <v>5</v>
      </c>
      <c r="C9" s="12" t="s">
        <v>406</v>
      </c>
      <c r="E9" s="12" t="s">
        <v>320</v>
      </c>
      <c r="F9" s="12" t="s">
        <v>408</v>
      </c>
      <c r="G9" s="12">
        <v>14</v>
      </c>
      <c r="H9" s="12">
        <v>2502</v>
      </c>
      <c r="I9" s="12" t="s">
        <v>407</v>
      </c>
    </row>
    <row r="10" spans="1:11" s="18" customFormat="1" x14ac:dyDescent="0.2">
      <c r="B10" s="12" t="s">
        <v>15</v>
      </c>
      <c r="C10" s="12" t="s">
        <v>417</v>
      </c>
      <c r="E10" s="12" t="s">
        <v>320</v>
      </c>
      <c r="F10" s="12" t="s">
        <v>419</v>
      </c>
      <c r="G10" s="12">
        <v>215</v>
      </c>
      <c r="H10" s="12">
        <v>4056</v>
      </c>
      <c r="I10" s="12" t="s">
        <v>418</v>
      </c>
    </row>
    <row r="11" spans="1:11" s="18" customFormat="1" x14ac:dyDescent="0.2">
      <c r="B11" s="12" t="s">
        <v>63</v>
      </c>
      <c r="C11" s="12" t="s">
        <v>421</v>
      </c>
      <c r="E11" s="12" t="s">
        <v>320</v>
      </c>
      <c r="F11" s="12" t="s">
        <v>422</v>
      </c>
      <c r="G11" s="12">
        <v>5</v>
      </c>
      <c r="H11" s="12">
        <v>4051</v>
      </c>
      <c r="I11" s="12" t="s">
        <v>318</v>
      </c>
    </row>
    <row r="12" spans="1:11" s="18" customFormat="1" x14ac:dyDescent="0.2">
      <c r="B12" s="12" t="s">
        <v>63</v>
      </c>
      <c r="C12" s="12" t="s">
        <v>423</v>
      </c>
      <c r="D12" s="18" t="s">
        <v>427</v>
      </c>
      <c r="E12" s="12" t="s">
        <v>320</v>
      </c>
      <c r="F12" s="12" t="s">
        <v>424</v>
      </c>
      <c r="G12" s="12">
        <v>29</v>
      </c>
      <c r="H12" s="12">
        <v>4052</v>
      </c>
      <c r="I12" s="12" t="s">
        <v>318</v>
      </c>
      <c r="K12" s="12" t="s">
        <v>425</v>
      </c>
    </row>
    <row r="13" spans="1:11" s="18" customFormat="1" x14ac:dyDescent="0.2">
      <c r="B13" s="12" t="s">
        <v>420</v>
      </c>
      <c r="C13" s="12" t="s">
        <v>426</v>
      </c>
      <c r="E13" s="12" t="s">
        <v>320</v>
      </c>
      <c r="F13" s="12" t="s">
        <v>428</v>
      </c>
      <c r="G13" s="12" t="s">
        <v>429</v>
      </c>
      <c r="H13" s="12">
        <v>3008</v>
      </c>
      <c r="I13" s="12" t="s">
        <v>312</v>
      </c>
    </row>
    <row r="14" spans="1:11" s="19" customFormat="1" x14ac:dyDescent="0.2">
      <c r="B14" s="11" t="s">
        <v>5</v>
      </c>
      <c r="C14" s="11" t="s">
        <v>430</v>
      </c>
      <c r="E14" s="11" t="s">
        <v>431</v>
      </c>
      <c r="F14" s="11" t="s">
        <v>432</v>
      </c>
      <c r="G14" s="11">
        <v>15</v>
      </c>
      <c r="H14" s="11">
        <v>2502</v>
      </c>
      <c r="I14" s="11" t="s">
        <v>407</v>
      </c>
      <c r="J14" s="19" t="s">
        <v>232</v>
      </c>
    </row>
    <row r="16" spans="1:11" x14ac:dyDescent="0.2">
      <c r="A16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Genève</vt:lpstr>
      <vt:lpstr>Plateau Romand</vt:lpstr>
      <vt:lpstr>La Côte</vt:lpstr>
      <vt:lpstr>Lausanne</vt:lpstr>
      <vt:lpstr>Riviera</vt:lpstr>
      <vt:lpstr>Valais</vt:lpstr>
      <vt:lpstr>Vallée de Joux</vt:lpstr>
      <vt:lpstr>Suisse Alémanique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</dc:creator>
  <cp:lastModifiedBy>Raphaël Renzi</cp:lastModifiedBy>
  <dcterms:created xsi:type="dcterms:W3CDTF">2019-01-24T05:12:48Z</dcterms:created>
  <dcterms:modified xsi:type="dcterms:W3CDTF">2025-12-02T12:03:17Z</dcterms:modified>
</cp:coreProperties>
</file>